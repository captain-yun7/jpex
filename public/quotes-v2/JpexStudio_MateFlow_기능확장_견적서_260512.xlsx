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pex\projects\jpex\public\quotes-v2\"/>
    </mc:Choice>
  </mc:AlternateContent>
  <xr:revisionPtr revIDLastSave="0" documentId="13_ncr:1_{99FE3BD2-8D20-4DD8-9227-71E9F4BF38B8}" xr6:coauthVersionLast="47" xr6:coauthVersionMax="47" xr10:uidLastSave="{00000000-0000-0000-0000-000000000000}"/>
  <bookViews>
    <workbookView xWindow="38290" yWindow="-110" windowWidth="25820" windowHeight="1390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5" i="1"/>
  <c r="F14" i="1"/>
  <c r="F13" i="1"/>
  <c r="F18" i="1" s="1"/>
  <c r="F19" i="1" s="1"/>
  <c r="G15" i="1" l="1"/>
  <c r="H15" i="1" s="1"/>
  <c r="G16" i="1"/>
  <c r="H16" i="1" s="1"/>
  <c r="G13" i="1"/>
  <c r="G18" i="1" s="1"/>
  <c r="G19" i="1" s="1"/>
  <c r="G14" i="1"/>
  <c r="H14" i="1" s="1"/>
  <c r="G17" i="1"/>
  <c r="H17" i="1" s="1"/>
  <c r="H13" i="1"/>
  <c r="H18" i="1" l="1"/>
  <c r="H19" i="1" s="1"/>
</calcChain>
</file>

<file path=xl/sharedStrings.xml><?xml version="1.0" encoding="utf-8"?>
<sst xmlns="http://schemas.openxmlformats.org/spreadsheetml/2006/main" count="75" uniqueCount="74">
  <si>
    <t>JPEX Studio</t>
  </si>
  <si>
    <t>견 적 서</t>
  </si>
  <si>
    <t>Professional Web &amp; AI Development</t>
  </si>
  <si>
    <t xml:space="preserve">  문서번호</t>
  </si>
  <si>
    <t>MTF-2026-001</t>
  </si>
  <si>
    <t>작성일자</t>
  </si>
  <si>
    <t>2026년 5월 12일</t>
  </si>
  <si>
    <t xml:space="preserve">  수신</t>
  </si>
  <si>
    <t>MateFlow 담당자님 귀하</t>
  </si>
  <si>
    <t xml:space="preserve">  프로젝트명</t>
  </si>
  <si>
    <t>MateFlow AI 채점 플랫폼 기능 확장 개발</t>
  </si>
  <si>
    <t xml:space="preserve">  프로젝트 유형</t>
  </si>
  <si>
    <t>PDF·OCR·AI 다중 모델 채점·교사 검토 워크플로우·자료 공유·학부모 커뮤니케이션 기능 추가</t>
  </si>
  <si>
    <t xml:space="preserve">  유효기간</t>
  </si>
  <si>
    <t>견적서 발행일로부터 30일</t>
  </si>
  <si>
    <t xml:space="preserve">  견적 내역</t>
  </si>
  <si>
    <t>No.</t>
  </si>
  <si>
    <t>항목</t>
  </si>
  <si>
    <t>세부내용</t>
  </si>
  <si>
    <t>단가</t>
  </si>
  <si>
    <t>수량</t>
  </si>
  <si>
    <t>공급가액</t>
  </si>
  <si>
    <t>V.A.T</t>
  </si>
  <si>
    <t>합계</t>
  </si>
  <si>
    <t>PDF 업로드 + OCR 기반 문제/답안 인식</t>
  </si>
  <si>
    <t>다중 페이지 PDF 업로드 UI, GCS 저장, 페이지 분할·미리보기, Vision OCR 호출, 문제·답안 영역 자동 분리, 텍스트 추출 결과 편집 UI</t>
  </si>
  <si>
    <t>AI 다중 모델 채점 비교 (Gemini·ChatGPT·Claude)</t>
  </si>
  <si>
    <t>3개 모델 API 병렬 호출 및 결과 정규화, AI 초안 채점·피드백 생성, 모델별 결과 비교 화면(점수·피드백 diff), 루브릭 연동</t>
  </si>
  <si>
    <t>교사 검토·수정·승인 워크플로우 + 학생별 피드백 관리</t>
  </si>
  <si>
    <t>AI 초안 검토·인라인 수정 UI, 코멘트·점수 조정, 승인 상태 머신(draft → review → approved), 학생별 피드백 누적 뷰</t>
  </si>
  <si>
    <t>과목별 데이터 관리 + 교사 간 자료 공유</t>
  </si>
  <si>
    <t>과목·과제 엔티티 모델 확장, 권한 모델(개인·팀·공개), 루브릭·과제 템플릿 공유 라이브러리 및 복제/가져오기</t>
  </si>
  <si>
    <t>학생/학부모 커뮤니케이션 + 통합 테스트·배포</t>
  </si>
  <si>
    <t>이메일 알림(Resend), 학부모 조회 링크(서명 토큰), 통합 테스트, 기존 운영 환경 통합 배포</t>
  </si>
  <si>
    <t>소계</t>
  </si>
  <si>
    <t>총 견적금액</t>
  </si>
  <si>
    <t xml:space="preserve">  개발 일정</t>
  </si>
  <si>
    <t>단계</t>
  </si>
  <si>
    <t>기간</t>
  </si>
  <si>
    <t>주요 내용</t>
  </si>
  <si>
    <t>1단계: 기획 및 설계</t>
  </si>
  <si>
    <t>PDF 업로드·OCR 파이프라인, AI 3모델 채점 비교, 교사 검토 워크플로우, 학생/과목 데이터 관리, 자료 공유, 학부모 커뮤니케이션 개발</t>
  </si>
  <si>
    <t>통합 테스트, OCR·AI 채점 정확도 검증, 운영 환경 배포, QA 보완 및 납품</t>
  </si>
  <si>
    <t xml:space="preserve">  결제 조건</t>
  </si>
  <si>
    <t>구분</t>
  </si>
  <si>
    <t>비율</t>
  </si>
  <si>
    <t>금액</t>
  </si>
  <si>
    <t>시점</t>
  </si>
  <si>
    <t>계약금</t>
  </si>
  <si>
    <t>30%</t>
  </si>
  <si>
    <t>계약 체결 시</t>
  </si>
  <si>
    <t>잔금</t>
  </si>
  <si>
    <t>70%</t>
  </si>
  <si>
    <t>최종 검수 완료 후</t>
  </si>
  <si>
    <t xml:space="preserve">  입금계좌</t>
  </si>
  <si>
    <t>카카오뱅크 3333-35-5038363 (예금주: 윤지수)</t>
  </si>
  <si>
    <t xml:space="preserve">  참고사항</t>
  </si>
  <si>
    <t xml:space="preserve">  · 본 견적서는 작성일로부터 30일간 유효합니다.</t>
  </si>
  <si>
    <t xml:space="preserve">  · 기존 MateFlow 운영 시스템(Next.js·Clerk·GCS) 위에 기능을 추가하는 확장 개발 건입니다.</t>
  </si>
  <si>
    <t xml:space="preserve">  · 납품 후 1개월간 버그 수정 및 보완 사항을 무상 지원합니다.</t>
  </si>
  <si>
    <t xml:space="preserve">  · AI API 사용료(Gemini·OpenAI·Anthropic) 및 Google Vision OCR 비용은 발주처 부담입니다.</t>
  </si>
  <si>
    <t xml:space="preserve">  상호</t>
  </si>
  <si>
    <t xml:space="preserve">  대표자</t>
  </si>
  <si>
    <t>윤지수</t>
  </si>
  <si>
    <t xml:space="preserve">  사업자등록번호</t>
  </si>
  <si>
    <t>560-45-01327</t>
  </si>
  <si>
    <t xml:space="preserve">  연락처</t>
  </si>
  <si>
    <t>010-2174-5072</t>
  </si>
  <si>
    <t>기존 코드베이스 분석(Next.js·Clerk·GCS 스택), 요구사항 정의, 추가 기능 아키텍처·DB 스키마 확장 설계, OCR/AI 라우팅 전략 확정</t>
    <phoneticPr fontId="11" type="noConversion"/>
  </si>
  <si>
    <t>9-12 주차</t>
    <phoneticPr fontId="11" type="noConversion"/>
  </si>
  <si>
    <t>5-8 주차</t>
    <phoneticPr fontId="11" type="noConversion"/>
  </si>
  <si>
    <t>1-4 주차</t>
    <phoneticPr fontId="11" type="noConversion"/>
  </si>
  <si>
    <t>2단계: 구현</t>
    <phoneticPr fontId="11" type="noConversion"/>
  </si>
  <si>
    <t>3단계: 테스트 및 보완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</si>
</sst>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22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color rgb="FF666666"/>
      <name val="맑은 고딕"/>
      <family val="3"/>
      <charset val="129"/>
    </font>
    <font>
      <sz val="10"/>
      <color rgb="FF666666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/>
    </fill>
  </fills>
  <borders count="10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8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horizontal="right" vertical="center" wrapText="1"/>
    </xf>
    <xf numFmtId="0" fontId="0" fillId="3" borderId="3" xfId="0" applyFill="1" applyBorder="1"/>
    <xf numFmtId="3" fontId="6" fillId="3" borderId="3" xfId="0" applyNumberFormat="1" applyFont="1" applyFill="1" applyBorder="1" applyAlignment="1">
      <alignment horizontal="right" vertical="center" wrapText="1"/>
    </xf>
    <xf numFmtId="3" fontId="9" fillId="4" borderId="5" xfId="0" applyNumberFormat="1" applyFont="1" applyFill="1" applyBorder="1" applyAlignment="1">
      <alignment horizontal="right" vertical="center" wrapText="1"/>
    </xf>
    <xf numFmtId="0" fontId="0" fillId="0" borderId="5" xfId="0" applyBorder="1"/>
    <xf numFmtId="0" fontId="5" fillId="0" borderId="4" xfId="0" applyFont="1" applyBorder="1" applyAlignment="1">
      <alignment horizontal="center" vertical="center" wrapText="1"/>
    </xf>
    <xf numFmtId="0" fontId="0" fillId="0" borderId="7" xfId="0" applyBorder="1"/>
    <xf numFmtId="0" fontId="6" fillId="0" borderId="0" xfId="0" applyFont="1" applyAlignment="1">
      <alignment horizontal="left" vertical="center" wrapText="1"/>
    </xf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6" xfId="0" applyBorder="1"/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4" xfId="0" applyFont="1" applyBorder="1" applyAlignment="1">
      <alignment horizontal="left" vertical="center" wrapText="1"/>
    </xf>
    <xf numFmtId="0" fontId="0" fillId="0" borderId="8" xfId="0" applyBorder="1"/>
    <xf numFmtId="0" fontId="4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9" fontId="5" fillId="0" borderId="4" xfId="0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39</xdr:row>
      <xdr:rowOff>28574</xdr:rowOff>
    </xdr:from>
    <xdr:to>
      <xdr:col>6</xdr:col>
      <xdr:colOff>800100</xdr:colOff>
      <xdr:row>41</xdr:row>
      <xdr:rowOff>42862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00875" y="11949112"/>
          <a:ext cx="352425" cy="3524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5" workbookViewId="0">
      <selection activeCell="A34" sqref="A34:H34"/>
    </sheetView>
  </sheetViews>
  <sheetFormatPr defaultRowHeight="16.899999999999999" x14ac:dyDescent="0.6"/>
  <cols>
    <col min="1" max="1" width="4" customWidth="1"/>
    <col min="2" max="2" width="18" customWidth="1"/>
    <col min="3" max="3" width="32" customWidth="1"/>
    <col min="4" max="4" width="10" customWidth="1"/>
    <col min="5" max="5" width="8" customWidth="1"/>
    <col min="6" max="7" width="14" customWidth="1"/>
    <col min="8" max="8" width="16" customWidth="1"/>
  </cols>
  <sheetData>
    <row r="1" spans="1:8" ht="40.049999999999997" customHeight="1" x14ac:dyDescent="0.6">
      <c r="A1" s="35" t="s">
        <v>0</v>
      </c>
      <c r="B1" s="15"/>
      <c r="C1" s="15"/>
      <c r="F1" s="32" t="s">
        <v>1</v>
      </c>
      <c r="G1" s="15"/>
      <c r="H1" s="15"/>
    </row>
    <row r="2" spans="1:8" x14ac:dyDescent="0.6">
      <c r="A2" s="27" t="s">
        <v>2</v>
      </c>
      <c r="B2" s="15"/>
      <c r="C2" s="15"/>
    </row>
    <row r="3" spans="1:8" ht="5" customHeight="1" x14ac:dyDescent="0.6">
      <c r="A3" s="1"/>
      <c r="B3" s="1"/>
      <c r="C3" s="1"/>
      <c r="D3" s="1"/>
      <c r="E3" s="1"/>
      <c r="F3" s="1"/>
      <c r="G3" s="1"/>
      <c r="H3" s="1"/>
    </row>
    <row r="4" spans="1:8" ht="22.05" customHeight="1" x14ac:dyDescent="0.6">
      <c r="A4" s="20" t="s">
        <v>3</v>
      </c>
      <c r="B4" s="15"/>
      <c r="C4" s="28" t="s">
        <v>4</v>
      </c>
      <c r="D4" s="15"/>
      <c r="E4" s="29" t="s">
        <v>5</v>
      </c>
      <c r="F4" s="15"/>
      <c r="G4" s="33" t="s">
        <v>6</v>
      </c>
      <c r="H4" s="15"/>
    </row>
    <row r="6" spans="1:8" ht="24" customHeight="1" x14ac:dyDescent="0.6">
      <c r="A6" s="26" t="s">
        <v>7</v>
      </c>
      <c r="B6" s="15"/>
      <c r="C6" s="34" t="s">
        <v>8</v>
      </c>
      <c r="D6" s="15"/>
      <c r="E6" s="15"/>
      <c r="F6" s="15"/>
      <c r="G6" s="15"/>
      <c r="H6" s="15"/>
    </row>
    <row r="7" spans="1:8" ht="24" customHeight="1" x14ac:dyDescent="0.6">
      <c r="A7" s="26" t="s">
        <v>9</v>
      </c>
      <c r="B7" s="15"/>
      <c r="C7" s="16" t="s">
        <v>10</v>
      </c>
      <c r="D7" s="15"/>
      <c r="E7" s="15"/>
      <c r="F7" s="15"/>
      <c r="G7" s="15"/>
      <c r="H7" s="15"/>
    </row>
    <row r="8" spans="1:8" ht="24" customHeight="1" x14ac:dyDescent="0.6">
      <c r="A8" s="26" t="s">
        <v>11</v>
      </c>
      <c r="B8" s="15"/>
      <c r="C8" s="16" t="s">
        <v>12</v>
      </c>
      <c r="D8" s="15"/>
      <c r="E8" s="15"/>
      <c r="F8" s="15"/>
      <c r="G8" s="15"/>
      <c r="H8" s="15"/>
    </row>
    <row r="9" spans="1:8" ht="24" customHeight="1" x14ac:dyDescent="0.6">
      <c r="A9" s="26" t="s">
        <v>13</v>
      </c>
      <c r="B9" s="15"/>
      <c r="C9" s="16" t="s">
        <v>14</v>
      </c>
      <c r="D9" s="15"/>
      <c r="E9" s="15"/>
      <c r="F9" s="15"/>
      <c r="G9" s="15"/>
      <c r="H9" s="15"/>
    </row>
    <row r="10" spans="1:8" ht="8" customHeight="1" x14ac:dyDescent="0.6">
      <c r="A10" s="2"/>
      <c r="B10" s="2"/>
      <c r="C10" s="2"/>
      <c r="D10" s="2"/>
      <c r="E10" s="2"/>
      <c r="F10" s="2"/>
      <c r="G10" s="2"/>
      <c r="H10" s="2"/>
    </row>
    <row r="11" spans="1:8" ht="28.05" customHeight="1" x14ac:dyDescent="0.6">
      <c r="A11" s="22" t="s">
        <v>15</v>
      </c>
      <c r="B11" s="23"/>
      <c r="C11" s="23"/>
      <c r="D11" s="23"/>
      <c r="E11" s="23"/>
      <c r="F11" s="23"/>
      <c r="G11" s="23"/>
      <c r="H11" s="23"/>
    </row>
    <row r="12" spans="1:8" ht="28.05" customHeight="1" x14ac:dyDescent="0.6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</row>
    <row r="13" spans="1:8" ht="32" customHeight="1" x14ac:dyDescent="0.6">
      <c r="A13" s="4">
        <v>1</v>
      </c>
      <c r="B13" s="5" t="s">
        <v>24</v>
      </c>
      <c r="C13" s="6" t="s">
        <v>25</v>
      </c>
      <c r="D13" s="7">
        <v>2500000</v>
      </c>
      <c r="E13" s="4">
        <v>1</v>
      </c>
      <c r="F13" s="7">
        <f>IF(D13="","",D13*E13)</f>
        <v>2500000</v>
      </c>
      <c r="G13" s="7">
        <f>IF(F13="","",F13*0.1)</f>
        <v>250000</v>
      </c>
      <c r="H13" s="7">
        <f>IF(F13="","",F13+G13)</f>
        <v>2750000</v>
      </c>
    </row>
    <row r="14" spans="1:8" ht="32" customHeight="1" x14ac:dyDescent="0.6">
      <c r="A14" s="4">
        <v>2</v>
      </c>
      <c r="B14" s="5" t="s">
        <v>26</v>
      </c>
      <c r="C14" s="6" t="s">
        <v>27</v>
      </c>
      <c r="D14" s="7">
        <v>2200000</v>
      </c>
      <c r="E14" s="4">
        <v>1</v>
      </c>
      <c r="F14" s="7">
        <f>IF(D14="","",D14*E14)</f>
        <v>2200000</v>
      </c>
      <c r="G14" s="7">
        <f>IF(F14="","",F14*0.1)</f>
        <v>220000</v>
      </c>
      <c r="H14" s="7">
        <f>IF(F14="","",F14+G14)</f>
        <v>2420000</v>
      </c>
    </row>
    <row r="15" spans="1:8" ht="32" customHeight="1" x14ac:dyDescent="0.6">
      <c r="A15" s="4">
        <v>3</v>
      </c>
      <c r="B15" s="5" t="s">
        <v>28</v>
      </c>
      <c r="C15" s="6" t="s">
        <v>29</v>
      </c>
      <c r="D15" s="7">
        <v>1800000</v>
      </c>
      <c r="E15" s="4">
        <v>1</v>
      </c>
      <c r="F15" s="7">
        <f>IF(D15="","",D15*E15)</f>
        <v>1800000</v>
      </c>
      <c r="G15" s="7">
        <f>IF(F15="","",F15*0.1)</f>
        <v>180000</v>
      </c>
      <c r="H15" s="7">
        <f>IF(F15="","",F15+G15)</f>
        <v>1980000</v>
      </c>
    </row>
    <row r="16" spans="1:8" ht="32" customHeight="1" x14ac:dyDescent="0.6">
      <c r="A16" s="4">
        <v>4</v>
      </c>
      <c r="B16" s="5" t="s">
        <v>30</v>
      </c>
      <c r="C16" s="6" t="s">
        <v>31</v>
      </c>
      <c r="D16" s="7">
        <v>1500000</v>
      </c>
      <c r="E16" s="4">
        <v>1</v>
      </c>
      <c r="F16" s="7">
        <f>IF(D16="","",D16*E16)</f>
        <v>1500000</v>
      </c>
      <c r="G16" s="7">
        <f>IF(F16="","",F16*0.1)</f>
        <v>150000</v>
      </c>
      <c r="H16" s="7">
        <f>IF(F16="","",F16+G16)</f>
        <v>1650000</v>
      </c>
    </row>
    <row r="17" spans="1:8" ht="32" customHeight="1" x14ac:dyDescent="0.6">
      <c r="A17" s="4">
        <v>5</v>
      </c>
      <c r="B17" s="5" t="s">
        <v>32</v>
      </c>
      <c r="C17" s="6" t="s">
        <v>33</v>
      </c>
      <c r="D17" s="7">
        <v>1000000</v>
      </c>
      <c r="E17" s="4">
        <v>1</v>
      </c>
      <c r="F17" s="7">
        <f>IF(D17="","",D17*E17)</f>
        <v>1000000</v>
      </c>
      <c r="G17" s="7">
        <f>IF(F17="","",F17*0.1)</f>
        <v>100000</v>
      </c>
      <c r="H17" s="7">
        <f>IF(F17="","",F17+G17)</f>
        <v>1100000</v>
      </c>
    </row>
    <row r="18" spans="1:8" ht="28.05" customHeight="1" x14ac:dyDescent="0.6">
      <c r="A18" s="17" t="s">
        <v>34</v>
      </c>
      <c r="B18" s="18"/>
      <c r="C18" s="19"/>
      <c r="D18" s="8"/>
      <c r="E18" s="8"/>
      <c r="F18" s="9">
        <f>SUM(F13:F17)</f>
        <v>9000000</v>
      </c>
      <c r="G18" s="9">
        <f>SUM(G13:G17)</f>
        <v>900000</v>
      </c>
      <c r="H18" s="9">
        <f>SUM(H13:H17)</f>
        <v>9900000</v>
      </c>
    </row>
    <row r="19" spans="1:8" ht="36" customHeight="1" x14ac:dyDescent="0.6">
      <c r="A19" s="36" t="s">
        <v>35</v>
      </c>
      <c r="B19" s="15"/>
      <c r="C19" s="15"/>
      <c r="D19" s="15"/>
      <c r="E19" s="15"/>
      <c r="F19" s="10">
        <f>F18</f>
        <v>9000000</v>
      </c>
      <c r="G19" s="10">
        <f>G18</f>
        <v>900000</v>
      </c>
      <c r="H19" s="10">
        <f>H18</f>
        <v>9900000</v>
      </c>
    </row>
    <row r="21" spans="1:8" ht="28.05" customHeight="1" x14ac:dyDescent="0.6">
      <c r="A21" s="22" t="s">
        <v>36</v>
      </c>
      <c r="B21" s="23"/>
      <c r="C21" s="23"/>
      <c r="D21" s="23"/>
      <c r="E21" s="23"/>
      <c r="F21" s="23"/>
      <c r="G21" s="23"/>
      <c r="H21" s="23"/>
    </row>
    <row r="22" spans="1:8" ht="24" customHeight="1" x14ac:dyDescent="0.6">
      <c r="A22" s="17" t="s">
        <v>37</v>
      </c>
      <c r="B22" s="19"/>
      <c r="C22" s="17" t="s">
        <v>38</v>
      </c>
      <c r="D22" s="19"/>
      <c r="E22" s="17" t="s">
        <v>39</v>
      </c>
      <c r="F22" s="18"/>
      <c r="G22" s="18"/>
      <c r="H22" s="19"/>
    </row>
    <row r="23" spans="1:8" ht="28.05" customHeight="1" x14ac:dyDescent="0.6">
      <c r="A23" s="12" t="s">
        <v>40</v>
      </c>
      <c r="B23" s="13"/>
      <c r="C23" s="12" t="s">
        <v>71</v>
      </c>
      <c r="D23" s="13"/>
      <c r="E23" s="24" t="s">
        <v>68</v>
      </c>
      <c r="F23" s="25"/>
      <c r="G23" s="25"/>
      <c r="H23" s="13"/>
    </row>
    <row r="24" spans="1:8" ht="28.05" customHeight="1" x14ac:dyDescent="0.6">
      <c r="A24" s="12" t="s">
        <v>72</v>
      </c>
      <c r="B24" s="13"/>
      <c r="C24" s="12" t="s">
        <v>70</v>
      </c>
      <c r="D24" s="13"/>
      <c r="E24" s="24" t="s">
        <v>41</v>
      </c>
      <c r="F24" s="25"/>
      <c r="G24" s="25"/>
      <c r="H24" s="13"/>
    </row>
    <row r="25" spans="1:8" ht="28.05" customHeight="1" x14ac:dyDescent="0.6">
      <c r="A25" s="12" t="s">
        <v>73</v>
      </c>
      <c r="B25" s="13"/>
      <c r="C25" s="12" t="s">
        <v>69</v>
      </c>
      <c r="D25" s="13"/>
      <c r="E25" s="24" t="s">
        <v>42</v>
      </c>
      <c r="F25" s="25"/>
      <c r="G25" s="25"/>
      <c r="H25" s="13"/>
    </row>
    <row r="27" spans="1:8" ht="28.05" customHeight="1" x14ac:dyDescent="0.6">
      <c r="A27" s="22" t="s">
        <v>43</v>
      </c>
      <c r="B27" s="23"/>
      <c r="C27" s="23"/>
      <c r="D27" s="23"/>
      <c r="E27" s="23"/>
      <c r="F27" s="23"/>
      <c r="G27" s="23"/>
      <c r="H27" s="23"/>
    </row>
    <row r="28" spans="1:8" ht="24" customHeight="1" x14ac:dyDescent="0.6">
      <c r="A28" s="17" t="s">
        <v>44</v>
      </c>
      <c r="B28" s="19"/>
      <c r="C28" s="17" t="s">
        <v>45</v>
      </c>
      <c r="D28" s="19"/>
      <c r="E28" s="17" t="s">
        <v>46</v>
      </c>
      <c r="F28" s="19"/>
      <c r="G28" s="17" t="s">
        <v>47</v>
      </c>
      <c r="H28" s="19"/>
    </row>
    <row r="29" spans="1:8" ht="26" customHeight="1" x14ac:dyDescent="0.6">
      <c r="A29" s="12" t="s">
        <v>48</v>
      </c>
      <c r="B29" s="13"/>
      <c r="C29" s="30" t="s">
        <v>49</v>
      </c>
      <c r="D29" s="13"/>
      <c r="E29" s="31">
        <v>2970000</v>
      </c>
      <c r="F29" s="13"/>
      <c r="G29" s="12" t="s">
        <v>50</v>
      </c>
      <c r="H29" s="13"/>
    </row>
    <row r="30" spans="1:8" ht="26" customHeight="1" x14ac:dyDescent="0.6">
      <c r="A30" s="12" t="s">
        <v>51</v>
      </c>
      <c r="B30" s="13"/>
      <c r="C30" s="12" t="s">
        <v>52</v>
      </c>
      <c r="D30" s="13"/>
      <c r="E30" s="31">
        <v>6930000</v>
      </c>
      <c r="F30" s="13"/>
      <c r="G30" s="12" t="s">
        <v>53</v>
      </c>
      <c r="H30" s="13"/>
    </row>
    <row r="32" spans="1:8" ht="26" customHeight="1" x14ac:dyDescent="0.6">
      <c r="A32" s="20" t="s">
        <v>54</v>
      </c>
      <c r="B32" s="15"/>
      <c r="C32" s="14" t="s">
        <v>55</v>
      </c>
      <c r="D32" s="15"/>
      <c r="E32" s="15"/>
      <c r="F32" s="15"/>
      <c r="G32" s="15"/>
      <c r="H32" s="15"/>
    </row>
    <row r="34" spans="1:8" ht="28.05" customHeight="1" x14ac:dyDescent="0.6">
      <c r="A34" s="22" t="s">
        <v>56</v>
      </c>
      <c r="B34" s="23"/>
      <c r="C34" s="23"/>
      <c r="D34" s="23"/>
      <c r="E34" s="23"/>
      <c r="F34" s="23"/>
      <c r="G34" s="23"/>
      <c r="H34" s="23"/>
    </row>
    <row r="35" spans="1:8" ht="20" customHeight="1" x14ac:dyDescent="0.6">
      <c r="A35" s="21" t="s">
        <v>57</v>
      </c>
      <c r="B35" s="15"/>
      <c r="C35" s="15"/>
      <c r="D35" s="15"/>
      <c r="E35" s="15"/>
      <c r="F35" s="15"/>
      <c r="G35" s="15"/>
      <c r="H35" s="15"/>
    </row>
    <row r="36" spans="1:8" ht="20" customHeight="1" x14ac:dyDescent="0.6">
      <c r="A36" s="21" t="s">
        <v>58</v>
      </c>
      <c r="B36" s="15"/>
      <c r="C36" s="15"/>
      <c r="D36" s="15"/>
      <c r="E36" s="15"/>
      <c r="F36" s="15"/>
      <c r="G36" s="15"/>
      <c r="H36" s="15"/>
    </row>
    <row r="37" spans="1:8" ht="20" customHeight="1" x14ac:dyDescent="0.6">
      <c r="A37" s="21" t="s">
        <v>59</v>
      </c>
      <c r="B37" s="15"/>
      <c r="C37" s="15"/>
      <c r="D37" s="15"/>
      <c r="E37" s="15"/>
      <c r="F37" s="15"/>
      <c r="G37" s="15"/>
      <c r="H37" s="15"/>
    </row>
    <row r="38" spans="1:8" ht="20" customHeight="1" x14ac:dyDescent="0.6">
      <c r="A38" s="21" t="s">
        <v>60</v>
      </c>
      <c r="B38" s="15"/>
      <c r="C38" s="15"/>
      <c r="D38" s="15"/>
      <c r="E38" s="15"/>
      <c r="F38" s="15"/>
      <c r="G38" s="15"/>
      <c r="H38" s="15"/>
    </row>
    <row r="40" spans="1:8" ht="5" customHeight="1" x14ac:dyDescent="0.6">
      <c r="A40" s="11"/>
      <c r="B40" s="11"/>
      <c r="C40" s="11"/>
      <c r="D40" s="11"/>
      <c r="E40" s="11"/>
      <c r="F40" s="11"/>
      <c r="G40" s="11"/>
      <c r="H40" s="11"/>
    </row>
    <row r="41" spans="1:8" ht="22.05" customHeight="1" x14ac:dyDescent="0.6">
      <c r="A41" s="20" t="s">
        <v>61</v>
      </c>
      <c r="B41" s="15"/>
      <c r="C41" s="14" t="s">
        <v>0</v>
      </c>
      <c r="D41" s="15"/>
      <c r="E41" s="20" t="s">
        <v>62</v>
      </c>
      <c r="F41" s="15"/>
      <c r="G41" s="14" t="s">
        <v>63</v>
      </c>
      <c r="H41" s="15"/>
    </row>
    <row r="42" spans="1:8" ht="22.05" customHeight="1" x14ac:dyDescent="0.6">
      <c r="A42" s="20" t="s">
        <v>64</v>
      </c>
      <c r="B42" s="15"/>
      <c r="C42" s="14" t="s">
        <v>65</v>
      </c>
      <c r="D42" s="15"/>
      <c r="E42" s="20" t="s">
        <v>66</v>
      </c>
      <c r="F42" s="15"/>
      <c r="G42" s="14" t="s">
        <v>67</v>
      </c>
      <c r="H42" s="15"/>
    </row>
  </sheetData>
  <mergeCells count="59">
    <mergeCell ref="A1:C1"/>
    <mergeCell ref="A38:H38"/>
    <mergeCell ref="E41:F41"/>
    <mergeCell ref="G41:H41"/>
    <mergeCell ref="A28:B28"/>
    <mergeCell ref="A19:E19"/>
    <mergeCell ref="C28:D28"/>
    <mergeCell ref="A9:B9"/>
    <mergeCell ref="A34:H34"/>
    <mergeCell ref="E23:H23"/>
    <mergeCell ref="E30:F30"/>
    <mergeCell ref="G30:H30"/>
    <mergeCell ref="F1:H1"/>
    <mergeCell ref="A42:B42"/>
    <mergeCell ref="A32:B32"/>
    <mergeCell ref="A23:B23"/>
    <mergeCell ref="A8:B8"/>
    <mergeCell ref="C23:D23"/>
    <mergeCell ref="A22:B22"/>
    <mergeCell ref="A4:B4"/>
    <mergeCell ref="G4:H4"/>
    <mergeCell ref="C6:H6"/>
    <mergeCell ref="G29:H29"/>
    <mergeCell ref="A29:B29"/>
    <mergeCell ref="A35:H35"/>
    <mergeCell ref="A6:B6"/>
    <mergeCell ref="A2:C2"/>
    <mergeCell ref="E22:H22"/>
    <mergeCell ref="C4:D4"/>
    <mergeCell ref="E4:F4"/>
    <mergeCell ref="A7:B7"/>
    <mergeCell ref="C8:H8"/>
    <mergeCell ref="C22:D22"/>
    <mergeCell ref="C7:H7"/>
    <mergeCell ref="A21:H21"/>
    <mergeCell ref="C9:H9"/>
    <mergeCell ref="A18:C18"/>
    <mergeCell ref="E42:F42"/>
    <mergeCell ref="A36:H36"/>
    <mergeCell ref="A11:H11"/>
    <mergeCell ref="E25:H25"/>
    <mergeCell ref="C29:D29"/>
    <mergeCell ref="A25:B25"/>
    <mergeCell ref="E29:F29"/>
    <mergeCell ref="A41:B41"/>
    <mergeCell ref="C25:D25"/>
    <mergeCell ref="C41:D41"/>
    <mergeCell ref="E28:F28"/>
    <mergeCell ref="G28:H28"/>
    <mergeCell ref="A37:H37"/>
    <mergeCell ref="A27:H27"/>
    <mergeCell ref="A24:B24"/>
    <mergeCell ref="A30:B30"/>
    <mergeCell ref="C30:D30"/>
    <mergeCell ref="C24:D24"/>
    <mergeCell ref="G42:H42"/>
    <mergeCell ref="C42:D42"/>
    <mergeCell ref="E24:H24"/>
    <mergeCell ref="C32:H32"/>
  </mergeCells>
  <phoneticPr fontId="11" type="noConversion"/>
  <pageMargins left="0.6" right="0.6" top="0.5" bottom="0.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JISOO YUN</cp:lastModifiedBy>
  <dcterms:created xsi:type="dcterms:W3CDTF">2026-03-23T08:56:56Z</dcterms:created>
  <dcterms:modified xsi:type="dcterms:W3CDTF">2026-05-12T06:29:40Z</dcterms:modified>
</cp:coreProperties>
</file>