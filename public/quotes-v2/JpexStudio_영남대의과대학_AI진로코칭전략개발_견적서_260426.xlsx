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000000"/>
      <sz val="22"/>
    </font>
    <font>
      <name val="맑은 고딕"/>
      <charset val="129"/>
      <family val="3"/>
      <b val="1"/>
      <color rgb="FF000000"/>
      <sz val="18"/>
    </font>
    <font>
      <name val="맑은 고딕"/>
      <charset val="129"/>
      <family val="3"/>
      <color rgb="FF666666"/>
      <sz val="11"/>
    </font>
    <font>
      <name val="맑은 고딕"/>
      <charset val="129"/>
      <family val="3"/>
      <color rgb="FF666666"/>
      <sz val="10"/>
    </font>
    <font>
      <name val="맑은 고딕"/>
      <charset val="129"/>
      <family val="3"/>
      <color rgb="FF333333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333333"/>
      <sz val="10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666666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AFAFA"/>
        <bgColor rgb="FFFAFAFA"/>
      </patternFill>
    </fill>
    <fill>
      <patternFill patternType="solid">
        <fgColor rgb="FFF5F5F5"/>
        <bgColor rgb="FFF5F5F5"/>
      </patternFill>
    </fill>
    <fill>
      <patternFill patternType="solid"/>
    </fill>
  </fills>
  <borders count="1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/>
      <diagonal/>
    </border>
    <border>
      <left/>
      <right style="thin">
        <color rgb="FFCCCCCC"/>
      </right>
      <top style="medium">
        <color rgb="FF333333"/>
      </top>
      <bottom style="medium">
        <color rgb="FF333333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333333"/>
      </top>
      <bottom style="medium">
        <color rgb="FF33333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8" fillId="3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top" wrapText="1"/>
    </xf>
    <xf numFmtId="3" fontId="5" fillId="0" borderId="4" applyAlignment="1" pivotButton="0" quotePrefix="0" xfId="0">
      <alignment horizontal="right" vertical="center" wrapText="1"/>
    </xf>
    <xf numFmtId="0" fontId="0" fillId="3" borderId="3" pivotButton="0" quotePrefix="0" xfId="0"/>
    <xf numFmtId="3" fontId="6" fillId="3" borderId="3" applyAlignment="1" pivotButton="0" quotePrefix="0" xfId="0">
      <alignment horizontal="right" vertical="center" wrapText="1"/>
    </xf>
    <xf numFmtId="3" fontId="9" fillId="4" borderId="5" applyAlignment="1" pivotButton="0" quotePrefix="0" xfId="0">
      <alignment horizontal="right" vertical="center" wrapText="1"/>
    </xf>
    <xf numFmtId="0" fontId="0" fillId="0" borderId="5" pivotButton="0" quotePrefix="0" xfId="0"/>
    <xf numFmtId="0" fontId="5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2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0" fillId="3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4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3" fontId="6" fillId="0" borderId="4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0" fillId="4" borderId="5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9" fontId="5" fillId="0" borderId="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6</col>
      <colOff>447675</colOff>
      <row>39</row>
      <rowOff>28574</rowOff>
    </from>
    <to>
      <col>6</col>
      <colOff>800100</colOff>
      <row>41</row>
      <rowOff>42862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000875" y="11949112"/>
          <a:ext cx="352425" cy="352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tabSelected="1" topLeftCell="A25" workbookViewId="0">
      <selection activeCell="I42" sqref="I42"/>
    </sheetView>
  </sheetViews>
  <sheetFormatPr baseColWidth="8" defaultRowHeight="16.9"/>
  <cols>
    <col width="4" customWidth="1" style="15" min="1" max="1"/>
    <col width="18" customWidth="1" style="15" min="2" max="2"/>
    <col width="32" customWidth="1" style="15" min="3" max="3"/>
    <col width="10" customWidth="1" style="15" min="4" max="4"/>
    <col width="8" customWidth="1" style="15" min="5" max="5"/>
    <col width="14" customWidth="1" style="15" min="6" max="7"/>
    <col width="16" customWidth="1" style="15" min="8" max="8"/>
  </cols>
  <sheetData>
    <row r="1" ht="40.05" customHeight="1" s="15">
      <c r="A1" s="34" t="inlineStr">
        <is>
          <t>JPEX Studio</t>
        </is>
      </c>
      <c r="F1" s="32" t="inlineStr">
        <is>
          <t>견 적 서</t>
        </is>
      </c>
    </row>
    <row r="2">
      <c r="A2" s="35" t="inlineStr">
        <is>
          <t>Professional Web &amp; AI Development</t>
        </is>
      </c>
    </row>
    <row r="3" ht="5" customHeight="1" s="15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22.05" customHeight="1" s="15">
      <c r="A4" s="19" t="inlineStr">
        <is>
          <t xml:space="preserve">  문서번호</t>
        </is>
      </c>
      <c r="C4" s="25" t="inlineStr">
        <is>
          <t>YUMC-2026-001</t>
        </is>
      </c>
      <c r="E4" s="26" t="inlineStr">
        <is>
          <t>작성일자</t>
        </is>
      </c>
      <c r="G4" s="28" t="inlineStr">
        <is>
          <t>2026년 4월 26일</t>
        </is>
      </c>
    </row>
    <row r="6" ht="24" customHeight="1" s="15">
      <c r="A6" s="24" t="inlineStr">
        <is>
          <t xml:space="preserve">  수신</t>
        </is>
      </c>
      <c r="C6" s="29" t="inlineStr">
        <is>
          <t>영남대학교 의학교육혁신사업단 담당자님 귀하</t>
        </is>
      </c>
    </row>
    <row r="7" ht="24" customHeight="1" s="15">
      <c r="A7" s="24" t="inlineStr">
        <is>
          <t xml:space="preserve">  프로젝트명</t>
        </is>
      </c>
      <c r="C7" s="14" t="inlineStr">
        <is>
          <t>AI 기반 커리어패스 진로코칭 전략 개발</t>
        </is>
      </c>
    </row>
    <row r="8" ht="24" customHeight="1" s="15">
      <c r="A8" s="24" t="inlineStr">
        <is>
          <t xml:space="preserve">  프로젝트 유형</t>
        </is>
      </c>
      <c r="C8" s="14" t="inlineStr">
        <is>
          <t>의과대학 진로설계 교육과정 모델 및 AI 지원 도구 프로토타입 개발 연구</t>
        </is>
      </c>
    </row>
    <row r="9" ht="24" customHeight="1" s="15">
      <c r="A9" s="24" t="inlineStr">
        <is>
          <t xml:space="preserve">  유효기간</t>
        </is>
      </c>
      <c r="C9" s="14" t="inlineStr">
        <is>
          <t>견적서 발행일로부터 30일</t>
        </is>
      </c>
    </row>
    <row r="10" ht="8" customHeight="1" s="15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8.05" customHeight="1" s="15">
      <c r="A11" s="21" t="inlineStr">
        <is>
          <t xml:space="preserve">  견적 내역</t>
        </is>
      </c>
      <c r="B11" s="22" t="n"/>
      <c r="C11" s="22" t="n"/>
      <c r="D11" s="22" t="n"/>
      <c r="E11" s="22" t="n"/>
      <c r="F11" s="22" t="n"/>
      <c r="G11" s="22" t="n"/>
      <c r="H11" s="22" t="n"/>
    </row>
    <row r="12" ht="28.05" customHeight="1" s="15">
      <c r="A12" s="17" t="inlineStr">
        <is>
          <t>No.</t>
        </is>
      </c>
      <c r="B12" s="17" t="inlineStr">
        <is>
          <t>항목</t>
        </is>
      </c>
      <c r="C12" s="17" t="inlineStr">
        <is>
          <t>세부내용</t>
        </is>
      </c>
      <c r="D12" s="17" t="inlineStr">
        <is>
          <t>단가</t>
        </is>
      </c>
      <c r="E12" s="17" t="inlineStr">
        <is>
          <t>수량</t>
        </is>
      </c>
      <c r="F12" s="17" t="inlineStr">
        <is>
          <t>공급가액</t>
        </is>
      </c>
      <c r="G12" s="17" t="inlineStr">
        <is>
          <t>V.A.T</t>
        </is>
      </c>
      <c r="H12" s="17" t="inlineStr">
        <is>
          <t>합계</t>
        </is>
      </c>
    </row>
    <row r="13" ht="32" customHeight="1" s="15">
      <c r="A13" s="12" t="n">
        <v>1</v>
      </c>
      <c r="B13" s="5" t="inlineStr">
        <is>
          <t>1단계: 선행문헌 및 사례 분석</t>
        </is>
      </c>
      <c r="C13" s="6" t="inlineStr">
        <is>
          <t>국내외 의과대학 진로설계 교육과정·전문직 정체성 형성·AI 진로지도 시스템 선행문헌 및 10개 이상 사례 분석</t>
        </is>
      </c>
      <c r="D13" s="7" t="n">
        <v>1800000</v>
      </c>
      <c r="E13" s="12" t="n">
        <v>1</v>
      </c>
      <c r="F13" s="7">
        <f>IF(D13="","",D13*E13)</f>
        <v/>
      </c>
      <c r="G13" s="7">
        <f>IF(F13="","",F13*0.1)</f>
        <v/>
      </c>
      <c r="H13" s="7">
        <f>IF(F13="","",F13+G13)</f>
        <v/>
      </c>
    </row>
    <row r="14" ht="32" customHeight="1" s="15">
      <c r="A14" s="12" t="n">
        <v>2</v>
      </c>
      <c r="B14" s="5" t="inlineStr">
        <is>
          <t>2단계: 현황 및 요구조사</t>
        </is>
      </c>
      <c r="C14" s="6" t="inlineStr">
        <is>
          <t>국내외 30개 이상 의과대학 진로설계 교과·비교과 활동 현황 조사, 학습자·교수자 대상 설문·면담·FGI 요구조사 설계 및 분석</t>
        </is>
      </c>
      <c r="D14" s="7" t="n">
        <v>3500000</v>
      </c>
      <c r="E14" s="12" t="n">
        <v>1</v>
      </c>
      <c r="F14" s="7">
        <f>IF(D14="","",D14*E14)</f>
        <v/>
      </c>
      <c r="G14" s="7">
        <f>IF(F14="","",F14*0.1)</f>
        <v/>
      </c>
      <c r="H14" s="7">
        <f>IF(F14="","",F14+G14)</f>
        <v/>
      </c>
    </row>
    <row r="15" ht="32" customHeight="1" s="15">
      <c r="A15" s="12" t="n">
        <v>3</v>
      </c>
      <c r="B15" s="5" t="inlineStr">
        <is>
          <t>3단계: 교육과정 모델 개발 및 전문가 타당화</t>
        </is>
      </c>
      <c r="C15" s="6" t="inlineStr">
        <is>
          <t>학년별 진로설계 학습목표·핵심 역량 도출, 교과·비교과·AI 지원 통합 모델 설계, 기초·임상·의학교육학 전문가 타당화 (CVI 0.8 이상)</t>
        </is>
      </c>
      <c r="D15" s="7" t="n">
        <v>3500000</v>
      </c>
      <c r="E15" s="12" t="n">
        <v>1</v>
      </c>
      <c r="F15" s="7">
        <f>IF(D15="","",D15*E15)</f>
        <v/>
      </c>
      <c r="G15" s="7">
        <f>IF(F15="","",F15*0.1)</f>
        <v/>
      </c>
      <c r="H15" s="7">
        <f>IF(F15="","",F15+G15)</f>
        <v/>
      </c>
    </row>
    <row r="16" ht="32" customHeight="1" s="15">
      <c r="A16" s="12" t="n">
        <v>4</v>
      </c>
      <c r="B16" s="5" t="inlineStr">
        <is>
          <t>4단계: AI 지원 도구 프로토타입 개발 및 사용성 평가</t>
        </is>
      </c>
      <c r="C16" s="6" t="inlineStr">
        <is>
          <t>AI 진단·추천·매칭 페이지 Figma 프로토타입, User Flow 및 화면별 기능 명세서, 학생·교수자 사용성 평가, 단계별·최종 연구 보고서 작성</t>
        </is>
      </c>
      <c r="D16" s="7" t="n">
        <v>3927272</v>
      </c>
      <c r="E16" s="12" t="n">
        <v>1</v>
      </c>
      <c r="F16" s="7">
        <f>IF(D16="","",D16*E16)</f>
        <v/>
      </c>
      <c r="G16" s="7" t="n">
        <v>392728</v>
      </c>
      <c r="H16" s="7" t="n">
        <v>4320000</v>
      </c>
    </row>
    <row r="17" ht="32" customHeight="1" s="15">
      <c r="A17" s="12" t="n">
        <v>5</v>
      </c>
      <c r="B17" s="5" t="n"/>
      <c r="C17" s="6" t="n"/>
      <c r="D17" s="7" t="n"/>
      <c r="E17" s="12" t="n"/>
      <c r="F17" s="7">
        <f>IF(D17="","",D17*E17)</f>
        <v/>
      </c>
      <c r="G17" s="7">
        <f>IF(F17="","",F17*0.1)</f>
        <v/>
      </c>
      <c r="H17" s="7">
        <f>IF(F17="","",F17+G17)</f>
        <v/>
      </c>
    </row>
    <row r="18" ht="28.05" customHeight="1" s="15">
      <c r="A18" s="17" t="inlineStr">
        <is>
          <t>소계</t>
        </is>
      </c>
      <c r="B18" s="37" t="n"/>
      <c r="C18" s="38" t="n"/>
      <c r="D18" s="18" t="n"/>
      <c r="E18" s="18" t="n"/>
      <c r="F18" s="9">
        <f>SUM(F13:F17)</f>
        <v/>
      </c>
      <c r="G18" s="9">
        <f>SUM(G13:G17)</f>
        <v/>
      </c>
      <c r="H18" s="9">
        <f>SUM(H13:H17)</f>
        <v/>
      </c>
    </row>
    <row r="19" ht="36" customHeight="1" s="15">
      <c r="A19" s="30" t="inlineStr">
        <is>
          <t>총 견적금액</t>
        </is>
      </c>
      <c r="F19" s="10">
        <f>F18</f>
        <v/>
      </c>
      <c r="G19" s="10">
        <f>G18</f>
        <v/>
      </c>
      <c r="H19" s="10">
        <f>H18</f>
        <v/>
      </c>
    </row>
    <row r="21" ht="28.05" customHeight="1" s="15">
      <c r="A21" s="21" t="inlineStr">
        <is>
          <t xml:space="preserve">  개발 일정</t>
        </is>
      </c>
      <c r="B21" s="22" t="n"/>
      <c r="C21" s="22" t="n"/>
      <c r="D21" s="22" t="n"/>
      <c r="E21" s="22" t="n"/>
      <c r="F21" s="22" t="n"/>
      <c r="G21" s="22" t="n"/>
      <c r="H21" s="22" t="n"/>
    </row>
    <row r="22" ht="24" customHeight="1" s="15">
      <c r="A22" s="17" t="inlineStr">
        <is>
          <t>단계</t>
        </is>
      </c>
      <c r="B22" s="38" t="n"/>
      <c r="C22" s="17" t="inlineStr">
        <is>
          <t>기간</t>
        </is>
      </c>
      <c r="D22" s="38" t="n"/>
      <c r="E22" s="17" t="inlineStr">
        <is>
          <t>주요 내용</t>
        </is>
      </c>
      <c r="F22" s="37" t="n"/>
      <c r="G22" s="37" t="n"/>
      <c r="H22" s="38" t="n"/>
    </row>
    <row r="23" ht="28.05" customHeight="1" s="15">
      <c r="A23" s="12" t="inlineStr">
        <is>
          <t>1단계: 선행문헌 분석 및 현황·요구조사</t>
        </is>
      </c>
      <c r="B23" s="39" t="n"/>
      <c r="C23" s="12" t="inlineStr">
        <is>
          <t>1개월차</t>
        </is>
      </c>
      <c r="D23" s="39" t="n"/>
      <c r="E23" s="23" t="inlineStr">
        <is>
          <t>국내외 의대 진로설계 교육과정·AI 진로지도 시스템 선행문헌 및 사례 분석, 30개+ 의대 현황 조사, 학습자·교수자 요구조사</t>
        </is>
      </c>
      <c r="F23" s="40" t="n"/>
      <c r="G23" s="40" t="n"/>
      <c r="H23" s="39" t="n"/>
    </row>
    <row r="24" ht="28.05" customHeight="1" s="15">
      <c r="A24" s="12" t="inlineStr">
        <is>
          <t>2단계: 교육과정 모델 개발 및 타당화</t>
        </is>
      </c>
      <c r="B24" s="39" t="n"/>
      <c r="C24" s="12" t="inlineStr">
        <is>
          <t>2개월차</t>
        </is>
      </c>
      <c r="D24" s="39" t="n"/>
      <c r="E24" s="23" t="inlineStr">
        <is>
          <t>학년별 진로설계 학습목표·핵심 역량 설정, 교과·비교과·AI 지원 통합 모델 설계, 기초·임상·의학교육학 전문가 타당화 (CVI 0.8 이상)</t>
        </is>
      </c>
      <c r="F24" s="40" t="n"/>
      <c r="G24" s="40" t="n"/>
      <c r="H24" s="39" t="n"/>
    </row>
    <row r="25" ht="28.05" customHeight="1" s="15">
      <c r="A25" s="12" t="inlineStr">
        <is>
          <t>3단계: AI 프로토타입 개발 및 사용성 평가</t>
        </is>
      </c>
      <c r="B25" s="39" t="n"/>
      <c r="C25" s="12" t="inlineStr">
        <is>
          <t>3개월차</t>
        </is>
      </c>
      <c r="D25" s="39" t="n"/>
      <c r="E25" s="23" t="inlineStr">
        <is>
          <t>AI 진단·추천·매칭 페이지 Figma 프로토타입, User Flow·기능 명세서, 학생·교수자 사용성 평가, 단계별 및 최종 연구 보고서 납품</t>
        </is>
      </c>
      <c r="F25" s="40" t="n"/>
      <c r="G25" s="40" t="n"/>
      <c r="H25" s="39" t="n"/>
    </row>
    <row r="27" ht="28.05" customHeight="1" s="15">
      <c r="A27" s="21" t="inlineStr">
        <is>
          <t xml:space="preserve">  결제 조건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 ht="24" customHeight="1" s="15">
      <c r="A28" s="17" t="inlineStr">
        <is>
          <t>구분</t>
        </is>
      </c>
      <c r="B28" s="38" t="n"/>
      <c r="C28" s="17" t="inlineStr">
        <is>
          <t>비율</t>
        </is>
      </c>
      <c r="D28" s="38" t="n"/>
      <c r="E28" s="17" t="inlineStr">
        <is>
          <t>금액</t>
        </is>
      </c>
      <c r="F28" s="38" t="n"/>
      <c r="G28" s="17" t="inlineStr">
        <is>
          <t>시점</t>
        </is>
      </c>
      <c r="H28" s="38" t="n"/>
    </row>
    <row r="29" ht="26" customHeight="1" s="15">
      <c r="A29" s="12" t="inlineStr">
        <is>
          <t>계약금</t>
        </is>
      </c>
      <c r="B29" s="39" t="n"/>
      <c r="C29" s="36" t="inlineStr">
        <is>
          <t>50%</t>
        </is>
      </c>
      <c r="D29" s="39" t="n"/>
      <c r="E29" s="27" t="n">
        <v>7000000</v>
      </c>
      <c r="F29" s="39" t="n"/>
      <c r="G29" s="12" t="inlineStr">
        <is>
          <t>계약 체결 시</t>
        </is>
      </c>
      <c r="H29" s="39" t="n"/>
    </row>
    <row r="30" ht="26" customHeight="1" s="15">
      <c r="A30" s="12" t="inlineStr">
        <is>
          <t>잔금</t>
        </is>
      </c>
      <c r="B30" s="39" t="n"/>
      <c r="C30" s="12" t="inlineStr">
        <is>
          <t>50%</t>
        </is>
      </c>
      <c r="D30" s="39" t="n"/>
      <c r="E30" s="27" t="n">
        <v>7000000</v>
      </c>
      <c r="F30" s="39" t="n"/>
      <c r="G30" s="12" t="inlineStr">
        <is>
          <t>최종 검수 완료 후</t>
        </is>
      </c>
      <c r="H30" s="39" t="n"/>
    </row>
    <row r="32" ht="26" customHeight="1" s="15">
      <c r="A32" s="19" t="inlineStr">
        <is>
          <t xml:space="preserve">  입금계좌</t>
        </is>
      </c>
      <c r="C32" s="16" t="inlineStr">
        <is>
          <t>카카오뱅크 3333-35-5038363 (예금주: 윤지수)</t>
        </is>
      </c>
    </row>
    <row r="34" ht="28.05" customHeight="1" s="15">
      <c r="A34" s="21" t="inlineStr">
        <is>
          <t xml:space="preserve">  참고사항</t>
        </is>
      </c>
      <c r="B34" s="22" t="n"/>
      <c r="C34" s="22" t="n"/>
      <c r="D34" s="22" t="n"/>
      <c r="E34" s="22" t="n"/>
      <c r="F34" s="22" t="n"/>
      <c r="G34" s="22" t="n"/>
      <c r="H34" s="22" t="n"/>
    </row>
    <row r="35" ht="20" customHeight="1" s="15">
      <c r="A35" s="20" t="inlineStr">
        <is>
          <t xml:space="preserve">  · 본 견적서는 작성일로부터 30일간 유효합니다.</t>
        </is>
      </c>
    </row>
    <row r="36" ht="20" customHeight="1" s="15">
      <c r="A36" s="20" t="inlineStr">
        <is>
          <t xml:space="preserve">  · 프로젝트 진행 중 요구사항 변경 시 일정과 비용이 조정될 수 있습니다.</t>
        </is>
      </c>
    </row>
    <row r="37" ht="20" customHeight="1" s="15">
      <c r="A37" s="20" t="inlineStr">
        <is>
          <t xml:space="preserve">  · 산출물 납품 후 1개월간 보고서·프로토타입 보완 수정을 무상 지원합니다.</t>
        </is>
      </c>
    </row>
    <row r="38" ht="20" customHeight="1" s="15">
      <c r="A38" s="20" t="inlineStr">
        <is>
          <t xml:space="preserve">  · 본 견적은 영남대학교 의과대학 행정실 협의 결과에 따라 일부 조정될 수 있습니다.</t>
        </is>
      </c>
    </row>
    <row r="40" ht="5" customHeight="1" s="15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 ht="22.05" customHeight="1" s="15">
      <c r="A41" s="19" t="inlineStr">
        <is>
          <t xml:space="preserve">  상호</t>
        </is>
      </c>
      <c r="C41" s="16" t="inlineStr">
        <is>
          <t>JPEX Studio</t>
        </is>
      </c>
      <c r="E41" s="19" t="inlineStr">
        <is>
          <t xml:space="preserve">  대표자</t>
        </is>
      </c>
      <c r="G41" s="16" t="inlineStr">
        <is>
          <t>윤지수</t>
        </is>
      </c>
    </row>
    <row r="42" ht="22.05" customHeight="1" s="15">
      <c r="A42" s="19" t="inlineStr">
        <is>
          <t xml:space="preserve">  사업자등록번호</t>
        </is>
      </c>
      <c r="C42" s="16" t="inlineStr">
        <is>
          <t>560-45-01327</t>
        </is>
      </c>
      <c r="E42" s="19" t="inlineStr">
        <is>
          <t xml:space="preserve">  연락처</t>
        </is>
      </c>
      <c r="G42" s="16" t="inlineStr">
        <is>
          <t>010-2174-5072</t>
        </is>
      </c>
    </row>
  </sheetData>
  <mergeCells count="59">
    <mergeCell ref="A24:B24"/>
    <mergeCell ref="A30:B30"/>
    <mergeCell ref="C30:D30"/>
    <mergeCell ref="C24:D24"/>
    <mergeCell ref="G42:H42"/>
    <mergeCell ref="C42:D42"/>
    <mergeCell ref="C9:H9"/>
    <mergeCell ref="A18:C18"/>
    <mergeCell ref="E42:F42"/>
    <mergeCell ref="A36:H36"/>
    <mergeCell ref="A11:H11"/>
    <mergeCell ref="E25:H25"/>
    <mergeCell ref="A6:B6"/>
    <mergeCell ref="A2:C2"/>
    <mergeCell ref="E22:H22"/>
    <mergeCell ref="C4:D4"/>
    <mergeCell ref="E4:F4"/>
    <mergeCell ref="C29:D29"/>
    <mergeCell ref="A7:B7"/>
    <mergeCell ref="A25:B25"/>
    <mergeCell ref="E29:F29"/>
    <mergeCell ref="A41:B41"/>
    <mergeCell ref="C25:D25"/>
    <mergeCell ref="C41:D41"/>
    <mergeCell ref="E28:F28"/>
    <mergeCell ref="C8:H8"/>
    <mergeCell ref="G28:H28"/>
    <mergeCell ref="C22:D22"/>
    <mergeCell ref="A37:H37"/>
    <mergeCell ref="A27:H27"/>
    <mergeCell ref="E24:H24"/>
    <mergeCell ref="C7:H7"/>
    <mergeCell ref="C32:H32"/>
    <mergeCell ref="A21:H21"/>
    <mergeCell ref="E23:H23"/>
    <mergeCell ref="E30:F30"/>
    <mergeCell ref="G30:H30"/>
    <mergeCell ref="F1:H1"/>
    <mergeCell ref="A42:B42"/>
    <mergeCell ref="A32:B32"/>
    <mergeCell ref="A23:B23"/>
    <mergeCell ref="A8:B8"/>
    <mergeCell ref="C23:D23"/>
    <mergeCell ref="A22:B22"/>
    <mergeCell ref="A4:B4"/>
    <mergeCell ref="G4:H4"/>
    <mergeCell ref="C6:H6"/>
    <mergeCell ref="G29:H29"/>
    <mergeCell ref="A29:B29"/>
    <mergeCell ref="A35:H35"/>
    <mergeCell ref="A1:C1"/>
    <mergeCell ref="A38:H38"/>
    <mergeCell ref="E41:F41"/>
    <mergeCell ref="G41:H41"/>
    <mergeCell ref="A28:B28"/>
    <mergeCell ref="A19:E19"/>
    <mergeCell ref="C28:D28"/>
    <mergeCell ref="A9:B9"/>
    <mergeCell ref="A34:H34"/>
  </mergeCells>
  <pageMargins left="0.6" right="0.6" top="0.5" bottom="0.5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2026-03-23T08:56:56Z</dcterms:created>
  <dcterms:modified xmlns:dcterms="http://purl.org/dc/terms/" xmlns:xsi="http://www.w3.org/2001/XMLSchema-instance" xsi:type="dcterms:W3CDTF">2026-04-26T05:23:26Z</dcterms:modified>
  <cp:lastModifiedBy>JISOO YUN</cp:lastModifiedBy>
</cp:coreProperties>
</file>