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광고 관련\계약서_210324\25년 11월\"/>
    </mc:Choice>
  </mc:AlternateContent>
  <xr:revisionPtr revIDLastSave="0" documentId="13_ncr:1_{56D4847B-FCA6-4946-B4B5-4DC6C454F35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견적서" sheetId="10" r:id="rId1"/>
  </sheets>
  <definedNames>
    <definedName name="_xlnm.Print_Area" localSheetId="0">견적서!$A$1:$I$15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1" i="10" l="1"/>
  <c r="G11" i="10" s="1"/>
  <c r="E10" i="10"/>
  <c r="G10" i="10" s="1"/>
  <c r="E9" i="10"/>
  <c r="G9" i="10" s="1"/>
  <c r="H11" i="10" l="1"/>
  <c r="I11" i="10" s="1"/>
  <c r="H10" i="10"/>
  <c r="I10" i="10" s="1"/>
  <c r="H9" i="10"/>
  <c r="I9" i="10" s="1"/>
  <c r="G13" i="10" l="1"/>
  <c r="H13" i="10" l="1"/>
  <c r="I13" i="10" l="1"/>
</calcChain>
</file>

<file path=xl/sharedStrings.xml><?xml version="1.0" encoding="utf-8"?>
<sst xmlns="http://schemas.openxmlformats.org/spreadsheetml/2006/main" count="35" uniqueCount="35">
  <si>
    <t>사업자 번호</t>
  </si>
  <si>
    <t>상       호</t>
  </si>
  <si>
    <t>대 표 자</t>
  </si>
  <si>
    <t>사업자 소재지</t>
  </si>
  <si>
    <t>  견적은 아래와 같습니다.</t>
  </si>
  <si>
    <t>업     태</t>
  </si>
  <si>
    <t>서비스</t>
  </si>
  <si>
    <t>종   목</t>
  </si>
  <si>
    <t>(단위: 원)</t>
  </si>
  <si>
    <t xml:space="preserve"> 비 고</t>
  </si>
  <si>
    <t>내역</t>
    <phoneticPr fontId="8" type="noConversion"/>
  </si>
  <si>
    <t>수량</t>
    <phoneticPr fontId="8" type="noConversion"/>
  </si>
  <si>
    <t>금액</t>
    <phoneticPr fontId="8" type="noConversion"/>
  </si>
  <si>
    <t>공급가액</t>
    <phoneticPr fontId="8" type="noConversion"/>
  </si>
  <si>
    <t>V.A.T</t>
    <phoneticPr fontId="8" type="noConversion"/>
  </si>
  <si>
    <t>합   계</t>
    <phoneticPr fontId="8" type="noConversion"/>
  </si>
  <si>
    <t>제     작     비</t>
    <phoneticPr fontId="8" type="noConversion"/>
  </si>
  <si>
    <t>소계</t>
    <phoneticPr fontId="8" type="noConversion"/>
  </si>
  <si>
    <t>결제</t>
    <phoneticPr fontId="8" type="noConversion"/>
  </si>
  <si>
    <t>견적서</t>
    <phoneticPr fontId="8" type="noConversion"/>
  </si>
  <si>
    <t>광고대행업</t>
    <phoneticPr fontId="8" type="noConversion"/>
  </si>
  <si>
    <t>171-88-01876</t>
    <phoneticPr fontId="8" type="noConversion"/>
  </si>
  <si>
    <t>주식회사 
에스킴컴퍼니</t>
    <phoneticPr fontId="8" type="noConversion"/>
  </si>
  <si>
    <t>단가</t>
    <phoneticPr fontId="8" type="noConversion"/>
  </si>
  <si>
    <t xml:space="preserve"> 수  신 : </t>
    <phoneticPr fontId="8" type="noConversion"/>
  </si>
  <si>
    <t>공급자</t>
    <phoneticPr fontId="8" type="noConversion"/>
  </si>
  <si>
    <t>㈜에스킴컴퍼니 기업은행 477-079379-04-014</t>
    <phoneticPr fontId="8" type="noConversion"/>
  </si>
  <si>
    <t>강지호, 박지운</t>
    <phoneticPr fontId="8" type="noConversion"/>
  </si>
  <si>
    <t xml:space="preserve"> 발  신 : 박지운 대표</t>
    <phoneticPr fontId="8" type="noConversion"/>
  </si>
  <si>
    <t>서울 성동구 성수이로10길 14 5층 509호</t>
    <phoneticPr fontId="8" type="noConversion"/>
  </si>
  <si>
    <t>여의도 선착장 내부랩핑 제작비</t>
    <phoneticPr fontId="8" type="noConversion"/>
  </si>
  <si>
    <t>5개 선착장 내부 전광판(1구좌) 서비스</t>
    <phoneticPr fontId="8" type="noConversion"/>
  </si>
  <si>
    <t xml:space="preserve">여의도 옥외 전광판(20구좌 턴키) 및 
여의도 선착장 내부 랩핑 광고료 </t>
    <phoneticPr fontId="8" type="noConversion"/>
  </si>
  <si>
    <t xml:space="preserve"> 거래일 : 2025년 11월 18일</t>
    <phoneticPr fontId="8" type="noConversion"/>
  </si>
  <si>
    <r>
      <rPr>
        <b/>
        <sz val="10"/>
        <rFont val="돋움"/>
        <family val="3"/>
        <charset val="129"/>
      </rPr>
      <t xml:space="preserve">1)광고기간 
</t>
    </r>
    <r>
      <rPr>
        <sz val="10"/>
        <rFont val="돋움"/>
        <family val="3"/>
        <charset val="129"/>
      </rPr>
      <t xml:space="preserve">옥외 전광판 : 2025년 10월 17일 – 2025년 10월 31일
내부 랩핑 : 2025년 10월 17일 – 2025년 10월 31일
내부 전광판 : 2025년 10월 17일 – 2025년 11월 16일(1개월)
</t>
    </r>
    <r>
      <rPr>
        <b/>
        <sz val="10"/>
        <rFont val="돋움"/>
        <family val="3"/>
        <charset val="129"/>
      </rPr>
      <t>2)에스킴컴퍼니 판매 수수료(광고료) 35% 포함가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</si>
</sst>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 "/>
    <numFmt numFmtId="177" formatCode="#,##0_);[Red]\(#,##0\)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color indexed="8"/>
      <name val="돋움"/>
      <family val="3"/>
      <charset val="129"/>
    </font>
    <font>
      <b/>
      <sz val="10"/>
      <color indexed="8"/>
      <name val="돋움"/>
      <family val="3"/>
      <charset val="129"/>
    </font>
    <font>
      <sz val="10"/>
      <name val="돋움"/>
      <family val="3"/>
      <charset val="129"/>
    </font>
    <font>
      <b/>
      <sz val="20"/>
      <name val="돋움"/>
      <family val="3"/>
      <charset val="129"/>
    </font>
    <font>
      <sz val="9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color indexed="8"/>
      <name val="돋움"/>
      <family val="3"/>
      <charset val="129"/>
    </font>
    <font>
      <sz val="10"/>
      <color rgb="FF0070C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sz val="10"/>
      <name val="Arial"/>
      <family val="2"/>
    </font>
    <font>
      <sz val="10"/>
      <name val="Helv"/>
      <family val="2"/>
    </font>
    <font>
      <b/>
      <sz val="14"/>
      <name val="돋움"/>
      <family val="3"/>
      <charset val="129"/>
    </font>
    <font>
      <b/>
      <sz val="10"/>
      <color rgb="FFFF000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 applyAlignment="0"/>
    <xf numFmtId="0" fontId="16" fillId="0" borderId="0"/>
    <xf numFmtId="0" fontId="12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177" fontId="2" fillId="0" borderId="4" xfId="1" applyNumberFormat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177" fontId="6" fillId="0" borderId="1" xfId="1" applyNumberFormat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176" fontId="2" fillId="0" borderId="9" xfId="1" applyNumberFormat="1" applyFont="1" applyBorder="1" applyAlignment="1">
      <alignment horizontal="center" vertical="center" wrapText="1"/>
    </xf>
    <xf numFmtId="177" fontId="2" fillId="0" borderId="9" xfId="1" applyNumberFormat="1" applyFont="1" applyBorder="1" applyAlignment="1">
      <alignment horizontal="center" vertical="center" wrapText="1"/>
    </xf>
    <xf numFmtId="176" fontId="2" fillId="0" borderId="10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7" fontId="2" fillId="4" borderId="1" xfId="1" applyNumberFormat="1" applyFont="1" applyFill="1" applyBorder="1" applyAlignment="1">
      <alignment horizontal="center" vertical="center" wrapText="1"/>
    </xf>
    <xf numFmtId="176" fontId="2" fillId="4" borderId="3" xfId="1" applyNumberFormat="1" applyFont="1" applyFill="1" applyBorder="1" applyAlignment="1">
      <alignment horizontal="center" vertical="center" wrapText="1"/>
    </xf>
    <xf numFmtId="176" fontId="2" fillId="4" borderId="1" xfId="1" applyNumberFormat="1" applyFont="1" applyFill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41" fontId="0" fillId="0" borderId="0" xfId="0" applyNumberFormat="1">
      <alignment vertical="center"/>
    </xf>
    <xf numFmtId="0" fontId="11" fillId="0" borderId="0" xfId="0" applyFont="1">
      <alignment vertical="center"/>
    </xf>
    <xf numFmtId="176" fontId="3" fillId="0" borderId="0" xfId="1" applyNumberFormat="1" applyFont="1" applyAlignment="1">
      <alignment vertical="center" wrapText="1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176" fontId="4" fillId="4" borderId="1" xfId="1" applyNumberFormat="1" applyFont="1" applyFill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176" fontId="14" fillId="0" borderId="1" xfId="1" applyNumberFormat="1" applyFont="1" applyBorder="1" applyAlignment="1">
      <alignment horizontal="center" vertical="center" wrapText="1"/>
    </xf>
    <xf numFmtId="177" fontId="14" fillId="0" borderId="1" xfId="1" applyNumberFormat="1" applyFont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176" fontId="14" fillId="2" borderId="1" xfId="1" applyNumberFormat="1" applyFont="1" applyFill="1" applyBorder="1" applyAlignment="1">
      <alignment horizontal="center" vertical="center" wrapText="1"/>
    </xf>
    <xf numFmtId="176" fontId="14" fillId="0" borderId="3" xfId="1" applyNumberFormat="1" applyFont="1" applyBorder="1" applyAlignment="1">
      <alignment horizontal="center" vertical="center" wrapText="1"/>
    </xf>
    <xf numFmtId="176" fontId="4" fillId="4" borderId="9" xfId="1" applyNumberFormat="1" applyFont="1" applyFill="1" applyBorder="1" applyAlignment="1">
      <alignment horizontal="center" vertical="center" wrapText="1"/>
    </xf>
    <xf numFmtId="176" fontId="2" fillId="2" borderId="9" xfId="1" applyNumberFormat="1" applyFont="1" applyFill="1" applyBorder="1" applyAlignment="1">
      <alignment horizontal="center" vertical="center" wrapText="1"/>
    </xf>
    <xf numFmtId="0" fontId="3" fillId="5" borderId="6" xfId="1" applyFont="1" applyFill="1" applyBorder="1" applyAlignment="1">
      <alignment horizontal="center" vertical="center" wrapText="1"/>
    </xf>
    <xf numFmtId="176" fontId="3" fillId="5" borderId="11" xfId="1" applyNumberFormat="1" applyFont="1" applyFill="1" applyBorder="1" applyAlignment="1">
      <alignment horizontal="center" vertical="center" wrapText="1"/>
    </xf>
    <xf numFmtId="177" fontId="3" fillId="5" borderId="11" xfId="1" applyNumberFormat="1" applyFont="1" applyFill="1" applyBorder="1" applyAlignment="1">
      <alignment horizontal="center" vertical="center" wrapText="1"/>
    </xf>
    <xf numFmtId="177" fontId="3" fillId="5" borderId="39" xfId="1" applyNumberFormat="1" applyFont="1" applyFill="1" applyBorder="1" applyAlignment="1">
      <alignment horizontal="center" vertical="center" wrapText="1"/>
    </xf>
    <xf numFmtId="0" fontId="2" fillId="0" borderId="25" xfId="1" applyFont="1" applyBorder="1" applyAlignment="1">
      <alignment horizontal="right" wrapText="1"/>
    </xf>
    <xf numFmtId="0" fontId="4" fillId="0" borderId="0" xfId="1" applyFont="1" applyAlignment="1">
      <alignment horizontal="right"/>
    </xf>
    <xf numFmtId="0" fontId="4" fillId="0" borderId="26" xfId="1" applyFont="1" applyBorder="1" applyAlignment="1">
      <alignment horizontal="right"/>
    </xf>
    <xf numFmtId="0" fontId="5" fillId="0" borderId="29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/>
    </xf>
    <xf numFmtId="0" fontId="2" fillId="0" borderId="27" xfId="1" applyFont="1" applyBorder="1" applyAlignment="1">
      <alignment horizontal="justify" vertical="center" wrapText="1"/>
    </xf>
    <xf numFmtId="0" fontId="4" fillId="0" borderId="28" xfId="1" applyFont="1" applyBorder="1">
      <alignment vertical="center"/>
    </xf>
    <xf numFmtId="0" fontId="4" fillId="0" borderId="0" xfId="1" applyFont="1">
      <alignment vertical="center"/>
    </xf>
    <xf numFmtId="0" fontId="9" fillId="0" borderId="32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2" fillId="0" borderId="34" xfId="1" applyFont="1" applyBorder="1" applyAlignment="1">
      <alignment horizontal="center" vertical="center" wrapText="1"/>
    </xf>
    <xf numFmtId="0" fontId="2" fillId="0" borderId="35" xfId="1" applyFont="1" applyBorder="1" applyAlignment="1">
      <alignment horizontal="center" vertical="center" wrapText="1"/>
    </xf>
    <xf numFmtId="0" fontId="7" fillId="0" borderId="34" xfId="1" applyFont="1" applyBorder="1" applyAlignment="1">
      <alignment horizontal="center" vertical="center" wrapText="1"/>
    </xf>
    <xf numFmtId="0" fontId="2" fillId="0" borderId="36" xfId="1" applyFont="1" applyBorder="1" applyAlignment="1">
      <alignment horizontal="center" vertical="center" wrapText="1"/>
    </xf>
    <xf numFmtId="0" fontId="2" fillId="0" borderId="37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justify" vertical="center" wrapText="1"/>
    </xf>
    <xf numFmtId="0" fontId="4" fillId="0" borderId="3" xfId="1" applyFont="1" applyBorder="1">
      <alignment vertical="center"/>
    </xf>
    <xf numFmtId="0" fontId="2" fillId="0" borderId="12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0" borderId="22" xfId="1" applyFont="1" applyBorder="1" applyAlignment="1">
      <alignment horizontal="justify" vertical="center" wrapText="1"/>
    </xf>
    <xf numFmtId="0" fontId="4" fillId="0" borderId="5" xfId="1" applyFont="1" applyBorder="1">
      <alignment vertical="center"/>
    </xf>
    <xf numFmtId="0" fontId="2" fillId="0" borderId="23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 wrapText="1"/>
    </xf>
    <xf numFmtId="176" fontId="4" fillId="0" borderId="16" xfId="1" applyNumberFormat="1" applyFont="1" applyBorder="1" applyAlignment="1">
      <alignment horizontal="left" vertical="center" wrapText="1"/>
    </xf>
    <xf numFmtId="176" fontId="18" fillId="0" borderId="17" xfId="1" applyNumberFormat="1" applyFont="1" applyBorder="1" applyAlignment="1">
      <alignment horizontal="left" vertical="center" wrapText="1"/>
    </xf>
    <xf numFmtId="176" fontId="18" fillId="0" borderId="18" xfId="1" applyNumberFormat="1" applyFont="1" applyBorder="1" applyAlignment="1">
      <alignment horizontal="left" vertical="center" wrapText="1"/>
    </xf>
    <xf numFmtId="176" fontId="2" fillId="4" borderId="12" xfId="1" applyNumberFormat="1" applyFont="1" applyFill="1" applyBorder="1" applyAlignment="1">
      <alignment horizontal="center" vertical="center" wrapText="1"/>
    </xf>
    <xf numFmtId="176" fontId="2" fillId="4" borderId="13" xfId="1" applyNumberFormat="1" applyFont="1" applyFill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7" fillId="3" borderId="38" xfId="1" applyFont="1" applyFill="1" applyBorder="1" applyAlignment="1">
      <alignment horizontal="center" vertical="center" wrapText="1"/>
    </xf>
    <xf numFmtId="0" fontId="17" fillId="3" borderId="20" xfId="1" applyFont="1" applyFill="1" applyBorder="1" applyAlignment="1">
      <alignment horizontal="center" vertical="center" wrapText="1"/>
    </xf>
    <xf numFmtId="0" fontId="17" fillId="3" borderId="21" xfId="1" applyFont="1" applyFill="1" applyBorder="1" applyAlignment="1">
      <alignment horizontal="center" vertical="center" wrapText="1"/>
    </xf>
    <xf numFmtId="176" fontId="14" fillId="0" borderId="12" xfId="1" applyNumberFormat="1" applyFont="1" applyBorder="1" applyAlignment="1">
      <alignment horizontal="center" vertical="center" wrapText="1"/>
    </xf>
    <xf numFmtId="176" fontId="14" fillId="0" borderId="13" xfId="1" applyNumberFormat="1" applyFont="1" applyBorder="1" applyAlignment="1">
      <alignment horizontal="center" vertical="center" wrapText="1"/>
    </xf>
    <xf numFmtId="176" fontId="2" fillId="0" borderId="14" xfId="1" applyNumberFormat="1" applyFont="1" applyBorder="1" applyAlignment="1">
      <alignment horizontal="center" vertical="center" wrapText="1"/>
    </xf>
    <xf numFmtId="176" fontId="2" fillId="0" borderId="15" xfId="1" applyNumberFormat="1" applyFont="1" applyBorder="1" applyAlignment="1">
      <alignment horizontal="center" vertical="center" wrapText="1"/>
    </xf>
    <xf numFmtId="176" fontId="3" fillId="5" borderId="16" xfId="1" applyNumberFormat="1" applyFont="1" applyFill="1" applyBorder="1" applyAlignment="1">
      <alignment horizontal="center" vertical="center" wrapText="1"/>
    </xf>
    <xf numFmtId="0" fontId="14" fillId="5" borderId="19" xfId="1" applyFont="1" applyFill="1" applyBorder="1" applyAlignment="1">
      <alignment horizontal="center" vertical="center" wrapText="1"/>
    </xf>
  </cellXfs>
  <cellStyles count="6">
    <cellStyle name="스타일 1" xfId="4" xr:uid="{CC1F104B-4C80-464F-A110-656AD1063DA8}"/>
    <cellStyle name="표준" xfId="0" builtinId="0"/>
    <cellStyle name="표준 2" xfId="1" xr:uid="{00000000-0005-0000-0000-000001000000}"/>
    <cellStyle name="표준 3 99" xfId="2" xr:uid="{43B2F066-CDFA-4900-9A44-F5805D333F2F}"/>
    <cellStyle name="표준 8" xfId="3" xr:uid="{250106E9-95BE-4154-9E6A-976A5BAC96CA}"/>
    <cellStyle name="표준 8 2" xfId="5" xr:uid="{2E510053-BE2B-4648-AD2F-D9912A81DD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495300</xdr:colOff>
      <xdr:row>1</xdr:row>
      <xdr:rowOff>123825</xdr:rowOff>
    </xdr:from>
    <xdr:to>
      <xdr:col>9</xdr:col>
      <xdr:colOff>76199</xdr:colOff>
      <xdr:row>3</xdr:row>
      <xdr:rowOff>114299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543F71A-9DEA-40F7-8B63-EF7A7FBAD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4275" y="552450"/>
          <a:ext cx="600074" cy="600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9"/>
  <sheetViews>
    <sheetView showGridLines="0" tabSelected="1" zoomScaleNormal="100" workbookViewId="0">
      <selection activeCell="K11" sqref="K11"/>
    </sheetView>
  </sheetViews>
  <sheetFormatPr defaultRowHeight="16.5" x14ac:dyDescent="0.3"/>
  <cols>
    <col min="1" max="1" width="30.75" style="11" customWidth="1"/>
    <col min="2" max="2" width="11.125" customWidth="1"/>
    <col min="3" max="3" width="2.25" customWidth="1"/>
    <col min="4" max="4" width="6" style="11" customWidth="1"/>
    <col min="5" max="5" width="11.125" bestFit="1" customWidth="1"/>
    <col min="6" max="6" width="9" customWidth="1"/>
    <col min="7" max="7" width="13" bestFit="1" customWidth="1"/>
    <col min="8" max="8" width="11.375" bestFit="1" customWidth="1"/>
    <col min="9" max="9" width="13.375" customWidth="1"/>
    <col min="11" max="11" width="9" style="20"/>
    <col min="12" max="12" width="14.625" bestFit="1" customWidth="1"/>
    <col min="14" max="14" width="13.75" bestFit="1" customWidth="1"/>
    <col min="15" max="16" width="10.875" bestFit="1" customWidth="1"/>
  </cols>
  <sheetData>
    <row r="1" spans="1:16" ht="33.75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39"/>
      <c r="I1" s="40"/>
    </row>
    <row r="2" spans="1:16" ht="20.25" customHeight="1" x14ac:dyDescent="0.3">
      <c r="A2" s="41" t="s">
        <v>33</v>
      </c>
      <c r="B2" s="42"/>
      <c r="C2" s="43"/>
      <c r="D2" s="44" t="s">
        <v>25</v>
      </c>
      <c r="E2" s="47" t="s">
        <v>0</v>
      </c>
      <c r="F2" s="48"/>
      <c r="G2" s="49" t="s">
        <v>21</v>
      </c>
      <c r="H2" s="50"/>
      <c r="I2" s="51"/>
    </row>
    <row r="3" spans="1:16" ht="27.75" customHeight="1" x14ac:dyDescent="0.3">
      <c r="A3" s="52" t="s">
        <v>24</v>
      </c>
      <c r="B3" s="53"/>
      <c r="C3" s="43"/>
      <c r="D3" s="45"/>
      <c r="E3" s="54" t="s">
        <v>1</v>
      </c>
      <c r="F3" s="55"/>
      <c r="G3" s="6" t="s">
        <v>22</v>
      </c>
      <c r="H3" s="1" t="s">
        <v>2</v>
      </c>
      <c r="I3" s="15" t="s">
        <v>27</v>
      </c>
      <c r="K3" s="18"/>
    </row>
    <row r="4" spans="1:16" ht="41.25" customHeight="1" x14ac:dyDescent="0.3">
      <c r="A4" s="52" t="s">
        <v>28</v>
      </c>
      <c r="B4" s="53"/>
      <c r="C4" s="43"/>
      <c r="D4" s="45"/>
      <c r="E4" s="54" t="s">
        <v>3</v>
      </c>
      <c r="F4" s="55"/>
      <c r="G4" s="54" t="s">
        <v>29</v>
      </c>
      <c r="H4" s="56"/>
      <c r="I4" s="57"/>
    </row>
    <row r="5" spans="1:16" ht="17.25" thickBot="1" x14ac:dyDescent="0.35">
      <c r="A5" s="58" t="s">
        <v>4</v>
      </c>
      <c r="B5" s="59"/>
      <c r="C5" s="43"/>
      <c r="D5" s="46"/>
      <c r="E5" s="60" t="s">
        <v>5</v>
      </c>
      <c r="F5" s="61"/>
      <c r="G5" s="4" t="s">
        <v>6</v>
      </c>
      <c r="H5" s="2" t="s">
        <v>7</v>
      </c>
      <c r="I5" s="16" t="s">
        <v>20</v>
      </c>
    </row>
    <row r="6" spans="1:16" x14ac:dyDescent="0.15">
      <c r="A6" s="35" t="s">
        <v>8</v>
      </c>
      <c r="B6" s="36"/>
      <c r="C6" s="36"/>
      <c r="D6" s="36"/>
      <c r="E6" s="36"/>
      <c r="F6" s="36"/>
      <c r="G6" s="36"/>
      <c r="H6" s="36"/>
      <c r="I6" s="37"/>
      <c r="K6" s="21"/>
    </row>
    <row r="7" spans="1:16" ht="18.75" customHeight="1" x14ac:dyDescent="0.3">
      <c r="A7" s="70" t="s">
        <v>16</v>
      </c>
      <c r="B7" s="71"/>
      <c r="C7" s="71"/>
      <c r="D7" s="71"/>
      <c r="E7" s="71"/>
      <c r="F7" s="71"/>
      <c r="G7" s="71"/>
      <c r="H7" s="71"/>
      <c r="I7" s="72"/>
      <c r="O7" s="17"/>
      <c r="P7" s="17"/>
    </row>
    <row r="8" spans="1:16" ht="21.75" customHeight="1" x14ac:dyDescent="0.3">
      <c r="A8" s="23" t="s">
        <v>10</v>
      </c>
      <c r="B8" s="24" t="s">
        <v>23</v>
      </c>
      <c r="C8" s="73" t="s">
        <v>11</v>
      </c>
      <c r="D8" s="74"/>
      <c r="E8" s="27" t="s">
        <v>12</v>
      </c>
      <c r="F8" s="24"/>
      <c r="G8" s="25" t="s">
        <v>13</v>
      </c>
      <c r="H8" s="24" t="s">
        <v>14</v>
      </c>
      <c r="I8" s="28" t="s">
        <v>15</v>
      </c>
      <c r="N8" s="19"/>
      <c r="O8" s="17"/>
      <c r="P8" s="17"/>
    </row>
    <row r="9" spans="1:16" ht="35.25" customHeight="1" x14ac:dyDescent="0.3">
      <c r="A9" s="26" t="s">
        <v>32</v>
      </c>
      <c r="B9" s="22">
        <v>45000000</v>
      </c>
      <c r="C9" s="65">
        <v>1</v>
      </c>
      <c r="D9" s="66"/>
      <c r="E9" s="14">
        <f>B9*C9</f>
        <v>45000000</v>
      </c>
      <c r="F9" s="14">
        <v>1</v>
      </c>
      <c r="G9" s="12">
        <f>E9*F9</f>
        <v>45000000</v>
      </c>
      <c r="H9" s="14">
        <f>G9*0.1</f>
        <v>4500000</v>
      </c>
      <c r="I9" s="13">
        <f>G9+H9</f>
        <v>49500000</v>
      </c>
      <c r="N9" s="19"/>
      <c r="O9" s="17"/>
      <c r="P9" s="17"/>
    </row>
    <row r="10" spans="1:16" ht="21.75" customHeight="1" x14ac:dyDescent="0.3">
      <c r="A10" s="26" t="s">
        <v>30</v>
      </c>
      <c r="B10" s="29">
        <v>15000000</v>
      </c>
      <c r="C10" s="65">
        <v>1</v>
      </c>
      <c r="D10" s="66"/>
      <c r="E10" s="14">
        <f>B10*C10</f>
        <v>15000000</v>
      </c>
      <c r="F10" s="14">
        <v>1</v>
      </c>
      <c r="G10" s="12">
        <f>E10*F10</f>
        <v>15000000</v>
      </c>
      <c r="H10" s="14">
        <f>G10*0.1</f>
        <v>1500000</v>
      </c>
      <c r="I10" s="13">
        <f>G10+H10</f>
        <v>16500000</v>
      </c>
      <c r="N10" s="19"/>
      <c r="O10" s="17"/>
      <c r="P10" s="17"/>
    </row>
    <row r="11" spans="1:16" ht="21.75" customHeight="1" x14ac:dyDescent="0.3">
      <c r="A11" s="26" t="s">
        <v>31</v>
      </c>
      <c r="B11" s="29">
        <v>0</v>
      </c>
      <c r="C11" s="65">
        <v>1</v>
      </c>
      <c r="D11" s="66"/>
      <c r="E11" s="14">
        <f>B11*C11</f>
        <v>0</v>
      </c>
      <c r="F11" s="14">
        <v>1</v>
      </c>
      <c r="G11" s="12">
        <f>E11*F11</f>
        <v>0</v>
      </c>
      <c r="H11" s="14">
        <f>G11*0.1</f>
        <v>0</v>
      </c>
      <c r="I11" s="13">
        <f>G11+H11</f>
        <v>0</v>
      </c>
      <c r="N11" s="19"/>
      <c r="O11" s="17"/>
      <c r="P11" s="17"/>
    </row>
    <row r="12" spans="1:16" ht="21.75" customHeight="1" thickBot="1" x14ac:dyDescent="0.35">
      <c r="A12" s="7"/>
      <c r="B12" s="8"/>
      <c r="C12" s="75"/>
      <c r="D12" s="76"/>
      <c r="E12" s="30"/>
      <c r="F12" s="8"/>
      <c r="G12" s="9"/>
      <c r="H12" s="8"/>
      <c r="I12" s="10"/>
      <c r="K12" s="18"/>
    </row>
    <row r="13" spans="1:16" ht="21.75" customHeight="1" thickBot="1" x14ac:dyDescent="0.35">
      <c r="A13" s="31" t="s">
        <v>17</v>
      </c>
      <c r="B13" s="32"/>
      <c r="C13" s="77"/>
      <c r="D13" s="78"/>
      <c r="E13" s="32"/>
      <c r="F13" s="32"/>
      <c r="G13" s="33">
        <f>SUM(G9:G12)</f>
        <v>60000000</v>
      </c>
      <c r="H13" s="33">
        <f>SUM(H9:H12)</f>
        <v>6000000</v>
      </c>
      <c r="I13" s="34">
        <f>SUM(I9:I12)</f>
        <v>66000000</v>
      </c>
    </row>
    <row r="14" spans="1:16" ht="83.25" customHeight="1" thickBot="1" x14ac:dyDescent="0.35">
      <c r="A14" s="5" t="s">
        <v>9</v>
      </c>
      <c r="B14" s="62" t="s">
        <v>34</v>
      </c>
      <c r="C14" s="63"/>
      <c r="D14" s="63"/>
      <c r="E14" s="63"/>
      <c r="F14" s="63"/>
      <c r="G14" s="63"/>
      <c r="H14" s="63"/>
      <c r="I14" s="64"/>
    </row>
    <row r="15" spans="1:16" ht="30.75" customHeight="1" thickBot="1" x14ac:dyDescent="0.35">
      <c r="A15" s="3" t="s">
        <v>18</v>
      </c>
      <c r="B15" s="67" t="s">
        <v>26</v>
      </c>
      <c r="C15" s="68"/>
      <c r="D15" s="68"/>
      <c r="E15" s="68"/>
      <c r="F15" s="68"/>
      <c r="G15" s="68"/>
      <c r="H15" s="68"/>
      <c r="I15" s="69"/>
    </row>
    <row r="17" spans="11:11" x14ac:dyDescent="0.3">
      <c r="K17" s="18"/>
    </row>
    <row r="26" spans="11:11" x14ac:dyDescent="0.3">
      <c r="K26" s="18"/>
    </row>
    <row r="35" spans="11:11" x14ac:dyDescent="0.3">
      <c r="K35" s="18"/>
    </row>
    <row r="43" spans="11:11" x14ac:dyDescent="0.3">
      <c r="K43" s="18"/>
    </row>
    <row r="53" spans="11:11" x14ac:dyDescent="0.3">
      <c r="K53" s="18"/>
    </row>
    <row r="71" spans="11:11" x14ac:dyDescent="0.3">
      <c r="K71" s="18"/>
    </row>
    <row r="89" spans="11:11" x14ac:dyDescent="0.3">
      <c r="K89" s="18"/>
    </row>
  </sheetData>
  <mergeCells count="23">
    <mergeCell ref="B14:I14"/>
    <mergeCell ref="C10:D10"/>
    <mergeCell ref="B15:I15"/>
    <mergeCell ref="A7:I7"/>
    <mergeCell ref="C8:D8"/>
    <mergeCell ref="C12:D12"/>
    <mergeCell ref="C13:D13"/>
    <mergeCell ref="C9:D9"/>
    <mergeCell ref="C11:D11"/>
    <mergeCell ref="A6:I6"/>
    <mergeCell ref="A1:I1"/>
    <mergeCell ref="A2:B2"/>
    <mergeCell ref="C2:C5"/>
    <mergeCell ref="D2:D5"/>
    <mergeCell ref="E2:F2"/>
    <mergeCell ref="G2:I2"/>
    <mergeCell ref="A3:B3"/>
    <mergeCell ref="E3:F3"/>
    <mergeCell ref="A4:B4"/>
    <mergeCell ref="E4:F4"/>
    <mergeCell ref="G4:I4"/>
    <mergeCell ref="A5:B5"/>
    <mergeCell ref="E5:F5"/>
  </mergeCells>
  <phoneticPr fontId="8" type="noConversion"/>
  <printOptions horizontalCentered="1"/>
  <pageMargins left="0.11811023622047245" right="0.11811023622047245" top="0.74803149606299213" bottom="0.35433070866141736" header="0.31496062992125984" footer="0.11811023622047245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m26410</cp:lastModifiedBy>
  <cp:lastPrinted>2020-09-08T06:46:28Z</cp:lastPrinted>
  <dcterms:created xsi:type="dcterms:W3CDTF">2017-03-07T03:45:20Z</dcterms:created>
  <dcterms:modified xsi:type="dcterms:W3CDTF">2025-11-18T04:34:18Z</dcterms:modified>
</cp:coreProperties>
</file>