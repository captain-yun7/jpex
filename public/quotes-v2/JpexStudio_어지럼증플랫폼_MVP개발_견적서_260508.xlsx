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pex\projects\jpex\public\quotes-v2\"/>
    </mc:Choice>
  </mc:AlternateContent>
  <xr:revisionPtr revIDLastSave="0" documentId="13_ncr:1_{9EEB32EA-A8E4-4CFE-961C-D4466486D87E}" xr6:coauthVersionLast="47" xr6:coauthVersionMax="47" xr10:uidLastSave="{00000000-0000-0000-0000-000000000000}"/>
  <bookViews>
    <workbookView xWindow="38290" yWindow="-110" windowWidth="25820" windowHeight="1390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F18" i="1"/>
  <c r="F19" i="1" s="1"/>
  <c r="G13" i="1" l="1"/>
  <c r="H13" i="1"/>
  <c r="G14" i="1"/>
  <c r="H14" i="1" s="1"/>
  <c r="G16" i="1"/>
  <c r="H16" i="1" s="1"/>
  <c r="G17" i="1"/>
  <c r="H17" i="1" s="1"/>
  <c r="H18" i="1" l="1"/>
  <c r="H19" i="1" s="1"/>
  <c r="G18" i="1"/>
  <c r="G19" i="1" s="1"/>
</calcChain>
</file>

<file path=xl/sharedStrings.xml><?xml version="1.0" encoding="utf-8"?>
<sst xmlns="http://schemas.openxmlformats.org/spreadsheetml/2006/main" count="75" uniqueCount="74">
  <si>
    <t>JPEX Studio</t>
  </si>
  <si>
    <t>견 적 서</t>
  </si>
  <si>
    <t>Professional Web &amp; AI Development</t>
  </si>
  <si>
    <t xml:space="preserve">  문서번호</t>
  </si>
  <si>
    <t>DZT-2026-001</t>
  </si>
  <si>
    <t>작성일자</t>
  </si>
  <si>
    <t>2026년 5월 8일</t>
  </si>
  <si>
    <t xml:space="preserve">  수신</t>
  </si>
  <si>
    <t>어지럼증 영상 기반 관리 플랫폼 담당자님 귀하</t>
  </si>
  <si>
    <t xml:space="preserve">  프로젝트명</t>
  </si>
  <si>
    <t>어지럼증 영상 기반 관리 플랫폼 (DizzyTrack) MVP 개발</t>
  </si>
  <si>
    <t xml:space="preserve">  프로젝트 유형</t>
  </si>
  <si>
    <t>웹 기반 영상 분석 SaaS MVP — 인증·영상 업로드·AI 분석·해외 결제·관리자 페이지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</si>
  <si>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</si>
  <si>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</si>
  <si>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</si>
  <si>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</si>
  <si>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</si>
  <si>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</si>
  <si>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</si>
  <si>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</si>
  <si>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</si>
  <si>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</si>
  <si>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</si>
  <si>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회원/인증 + 영상 업로드·저장·트랜스코딩</t>
  </si>
  <si>
    <t>이메일·Google OAuth, 드래그앤드롭 업로드 UI, 클라우드 스토리지(S3/R2), ffmpeg 기반 영상 정규화·메타데이터 추출</t>
  </si>
  <si>
    <t>AI 분석 모듈 서버 포팅·API 서비스화</t>
  </si>
  <si>
    <t>기존 Windows 스크립트 기반 AI 모듈을 Linux 서버 환경으로 이전, Python 의존성·실행 환경 구성, FastAPI 래핑, 비동기 큐 기반 분석 처리 및 결과 영속화</t>
  </si>
  <si>
    <t>사용자 대시보드 및 결과 확인 화면</t>
  </si>
  <si>
    <t>구독·결제 시스템 (Paddle 연동)</t>
  </si>
  <si>
    <t>Monthly·Quarterly·Yearly 플랜, Paddle 체크아웃 연동, 웹훅 처리, 구독 갱신·해지·인보이스 관리</t>
  </si>
  <si>
    <t>관리자 페이지 + 다국어 + 배포·인프라</t>
  </si>
  <si>
    <t>사용자·구독·결제 관리, 영상 검수, 통계 대시보드, 영문 i18n 베이스, 도메인·SSL·CI/CD·기본 모니터링</t>
  </si>
  <si>
    <t>소계</t>
  </si>
  <si>
    <t>총 견적금액</t>
  </si>
  <si>
    <t xml:space="preserve">  개발 일정</t>
  </si>
  <si>
    <t>단계</t>
  </si>
  <si>
    <t>기간</t>
  </si>
  <si>
    <t>주요 내용</t>
  </si>
  <si>
    <t>1단계: 기획 및 설계</t>
  </si>
  <si>
    <t>1개월차</t>
  </si>
  <si>
    <t>요구사항 정의, 시스템 아키텍처·DB 설계, AI 모듈 분석 및 포팅 계획 수립, 화면 설계</t>
  </si>
  <si>
    <t>2단계: 구현</t>
  </si>
  <si>
    <t>2개월차</t>
  </si>
  <si>
    <t>회원/인증, 영상 업로드·트랜스코딩, AI 모듈 서버 포팅·API화, 사용자 대시보드, Paddle 결제, 관리자 페이지 개발</t>
  </si>
  <si>
    <t>3단계: 테스트</t>
  </si>
  <si>
    <t>3개월차</t>
  </si>
  <si>
    <t>통합 테스트, 결제·구독 시나리오 검증, 다국어·배포·CI/CD 셋업, QA 보완 및 납품</t>
  </si>
  <si>
    <t xml:space="preserve">  결제 조건</t>
  </si>
  <si>
    <t>구분</t>
  </si>
  <si>
    <t>비율</t>
  </si>
  <si>
    <t>금액</t>
  </si>
  <si>
    <t>시점</t>
  </si>
  <si>
    <t>계약금</t>
  </si>
  <si>
    <t>30%</t>
  </si>
  <si>
    <t>계약 체결 시</t>
  </si>
  <si>
    <t>잔금</t>
  </si>
  <si>
    <t>70%</t>
  </si>
  <si>
    <t>최종 검수 완료 후</t>
  </si>
  <si>
    <t xml:space="preserve">  입금계좌</t>
  </si>
  <si>
    <t>카카오뱅크 3333-35-5038363 (예금주: 윤지수)</t>
  </si>
  <si>
    <t xml:space="preserve">  참고사항</t>
  </si>
  <si>
    <t xml:space="preserve">  · 본 견적서는 작성일로부터 30일간 유효합니다.</t>
  </si>
  <si>
    <t xml:space="preserve">  · 프로젝트 진행 중 요구사항 변경 시 일정과 비용이 조정될 수 있습니다.</t>
  </si>
  <si>
    <t xml:space="preserve">  · 납품 후 1개월간 버그 수정 및 보완 사항을 무상 지원합니다.</t>
  </si>
  <si>
    <t xml:space="preserve">  · Paddle 가입 심사·결제 계정 셋업 및 도메인·SSL 비용은 발주처 부담입니다.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</si>
  <si>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</si>
  <si>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</si>
  <si>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</si>
  <si>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</si>
  <si>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</si>
  <si>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</si>
  <si>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</si>
  <si>
    <t>분석 화면, 업로드/분석 이력 관리, 결과 상세 페이지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</si>
</sst>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7" xfId="0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4" xfId="0" applyFont="1" applyBorder="1" applyAlignment="1">
      <alignment horizontal="left" vertical="center" wrapText="1"/>
    </xf>
    <xf numFmtId="0" fontId="0" fillId="0" borderId="8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9" fontId="5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50796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3" workbookViewId="0">
      <selection activeCell="A34" sqref="A34:H34"/>
    </sheetView>
  </sheetViews>
  <sheetFormatPr defaultRowHeight="16.899999999999999" x14ac:dyDescent="0.6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.049999999999997" customHeight="1" x14ac:dyDescent="0.6">
      <c r="A1" s="35" t="s">
        <v>0</v>
      </c>
      <c r="B1" s="15"/>
      <c r="C1" s="15"/>
      <c r="F1" s="32" t="s">
        <v>1</v>
      </c>
      <c r="G1" s="15"/>
      <c r="H1" s="15"/>
    </row>
    <row r="2" spans="1:8" x14ac:dyDescent="0.6">
      <c r="A2" s="27" t="s">
        <v>2</v>
      </c>
      <c r="B2" s="15"/>
      <c r="C2" s="15"/>
    </row>
    <row r="3" spans="1:8" ht="5" customHeight="1" x14ac:dyDescent="0.6">
      <c r="A3" s="1"/>
      <c r="B3" s="1"/>
      <c r="C3" s="1"/>
      <c r="D3" s="1"/>
      <c r="E3" s="1"/>
      <c r="F3" s="1"/>
      <c r="G3" s="1"/>
      <c r="H3" s="1"/>
    </row>
    <row r="4" spans="1:8" ht="22.05" customHeight="1" x14ac:dyDescent="0.6">
      <c r="A4" s="20" t="s">
        <v>3</v>
      </c>
      <c r="B4" s="15"/>
      <c r="C4" s="28" t="s">
        <v>4</v>
      </c>
      <c r="D4" s="15"/>
      <c r="E4" s="29" t="s">
        <v>5</v>
      </c>
      <c r="F4" s="15"/>
      <c r="G4" s="33" t="s">
        <v>6</v>
      </c>
      <c r="H4" s="15"/>
    </row>
    <row r="6" spans="1:8" ht="24" customHeight="1" x14ac:dyDescent="0.6">
      <c r="A6" s="26" t="s">
        <v>7</v>
      </c>
      <c r="B6" s="15"/>
      <c r="C6" s="34" t="s">
        <v>8</v>
      </c>
      <c r="D6" s="15"/>
      <c r="E6" s="15"/>
      <c r="F6" s="15"/>
      <c r="G6" s="15"/>
      <c r="H6" s="15"/>
    </row>
    <row r="7" spans="1:8" ht="24" customHeight="1" x14ac:dyDescent="0.6">
      <c r="A7" s="26" t="s">
        <v>9</v>
      </c>
      <c r="B7" s="15"/>
      <c r="C7" s="16" t="s">
        <v>10</v>
      </c>
      <c r="D7" s="15"/>
      <c r="E7" s="15"/>
      <c r="F7" s="15"/>
      <c r="G7" s="15"/>
      <c r="H7" s="15"/>
    </row>
    <row r="8" spans="1:8" ht="24" customHeight="1" x14ac:dyDescent="0.6">
      <c r="A8" s="26" t="s">
        <v>11</v>
      </c>
      <c r="B8" s="15"/>
      <c r="C8" s="16" t="s">
        <v>12</v>
      </c>
      <c r="D8" s="15"/>
      <c r="E8" s="15"/>
      <c r="F8" s="15"/>
      <c r="G8" s="15"/>
      <c r="H8" s="15"/>
    </row>
    <row r="9" spans="1:8" ht="24" customHeight="1" x14ac:dyDescent="0.6">
      <c r="A9" s="26" t="s">
        <v>13</v>
      </c>
      <c r="B9" s="15"/>
      <c r="C9" s="16" t="s">
        <v>14</v>
      </c>
      <c r="D9" s="15"/>
      <c r="E9" s="15"/>
      <c r="F9" s="15"/>
      <c r="G9" s="15"/>
      <c r="H9" s="15"/>
    </row>
    <row r="10" spans="1:8" ht="8" customHeight="1" x14ac:dyDescent="0.6">
      <c r="A10" s="2"/>
      <c r="B10" s="2"/>
      <c r="C10" s="2"/>
      <c r="D10" s="2"/>
      <c r="E10" s="2"/>
      <c r="F10" s="2"/>
      <c r="G10" s="2"/>
      <c r="H10" s="2"/>
    </row>
    <row r="11" spans="1:8" ht="28.05" customHeight="1" x14ac:dyDescent="0.6">
      <c r="A11" s="22" t="s">
        <v>15</v>
      </c>
      <c r="B11" s="23"/>
      <c r="C11" s="23"/>
      <c r="D11" s="23"/>
      <c r="E11" s="23"/>
      <c r="F11" s="23"/>
      <c r="G11" s="23"/>
      <c r="H11" s="23"/>
    </row>
    <row r="12" spans="1:8" ht="28.05" customHeight="1" x14ac:dyDescent="0.6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1:8" ht="32" customHeight="1" x14ac:dyDescent="0.6">
      <c r="A13" s="4">
        <v>1</v>
      </c>
      <c r="B13" s="5" t="s">
        <v>24</v>
      </c>
      <c r="C13" s="6" t="s">
        <v>25</v>
      </c>
      <c r="D13" s="7">
        <v>3300000</v>
      </c>
      <c r="E13" s="4">
        <v>1</v>
      </c>
      <c r="F13" s="7">
        <v>2000000</v>
      </c>
      <c r="G13" s="7">
        <f>IF(F13="","",F13*0.1)</f>
        <v>200000</v>
      </c>
      <c r="H13" s="7">
        <f>IF(F13="","",F13+G13)</f>
        <v>2200000</v>
      </c>
    </row>
    <row r="14" spans="1:8" ht="32" customHeight="1" x14ac:dyDescent="0.6">
      <c r="A14" s="4">
        <v>2</v>
      </c>
      <c r="B14" s="5" t="s">
        <v>26</v>
      </c>
      <c r="C14" s="6" t="s">
        <v>27</v>
      </c>
      <c r="D14" s="7">
        <v>4200000</v>
      </c>
      <c r="E14" s="4">
        <v>1</v>
      </c>
      <c r="F14" s="7">
        <v>4000000</v>
      </c>
      <c r="G14" s="7">
        <f>IF(F14="","",F14*0.1)</f>
        <v>400000</v>
      </c>
      <c r="H14" s="7">
        <f>IF(F14="","",F14+G14)</f>
        <v>4400000</v>
      </c>
    </row>
    <row r="15" spans="1:8" ht="32" customHeight="1" x14ac:dyDescent="0.6">
      <c r="A15" s="4">
        <v>3</v>
      </c>
      <c r="B15" s="5" t="s">
        <v>28</v>
      </c>
      <c r="C15" s="6" t="s">
        <v>73</v>
      </c>
      <c r="D15" s="7">
        <v>2200000</v>
      </c>
      <c r="E15" s="4">
        <v>1</v>
      </c>
      <c r="F15" s="7">
        <v>2000000</v>
      </c>
      <c r="G15" s="7">
        <f>IF(F15="","",F15*0.1)</f>
        <v>200000</v>
      </c>
      <c r="H15" s="7">
        <f>IF(F15="","",F15+G15)</f>
        <v>2200000</v>
      </c>
    </row>
    <row r="16" spans="1:8" ht="32" customHeight="1" x14ac:dyDescent="0.6">
      <c r="A16" s="4">
        <v>4</v>
      </c>
      <c r="B16" s="5" t="s">
        <v>29</v>
      </c>
      <c r="C16" s="6" t="s">
        <v>30</v>
      </c>
      <c r="D16" s="7">
        <v>2200000</v>
      </c>
      <c r="E16" s="4">
        <v>1</v>
      </c>
      <c r="F16" s="7">
        <v>4000000</v>
      </c>
      <c r="G16" s="7">
        <f>IF(F16="","",F16*0.1)</f>
        <v>400000</v>
      </c>
      <c r="H16" s="7">
        <f>IF(F16="","",F16+G16)</f>
        <v>4400000</v>
      </c>
    </row>
    <row r="17" spans="1:8" ht="32" customHeight="1" x14ac:dyDescent="0.6">
      <c r="A17" s="4">
        <v>5</v>
      </c>
      <c r="B17" s="5" t="s">
        <v>31</v>
      </c>
      <c r="C17" s="6" t="s">
        <v>32</v>
      </c>
      <c r="D17" s="7">
        <v>3100000</v>
      </c>
      <c r="E17" s="4">
        <v>1</v>
      </c>
      <c r="F17" s="7">
        <v>3000000</v>
      </c>
      <c r="G17" s="7">
        <f>IF(F17="","",F17*0.1)</f>
        <v>300000</v>
      </c>
      <c r="H17" s="7">
        <f>IF(F17="","",F17+G17)</f>
        <v>3300000</v>
      </c>
    </row>
    <row r="18" spans="1:8" ht="28.05" customHeight="1" x14ac:dyDescent="0.6">
      <c r="A18" s="17" t="s">
        <v>33</v>
      </c>
      <c r="B18" s="18"/>
      <c r="C18" s="19"/>
      <c r="D18" s="8"/>
      <c r="E18" s="8"/>
      <c r="F18" s="9">
        <f>SUM(F13:F17)</f>
        <v>15000000</v>
      </c>
      <c r="G18" s="9">
        <f>SUM(G13:G17)</f>
        <v>1500000</v>
      </c>
      <c r="H18" s="9">
        <f>SUM(H13:H17)</f>
        <v>16500000</v>
      </c>
    </row>
    <row r="19" spans="1:8" ht="36" customHeight="1" x14ac:dyDescent="0.6">
      <c r="A19" s="36" t="s">
        <v>34</v>
      </c>
      <c r="B19" s="15"/>
      <c r="C19" s="15"/>
      <c r="D19" s="15"/>
      <c r="E19" s="15"/>
      <c r="F19" s="10">
        <f>F18</f>
        <v>15000000</v>
      </c>
      <c r="G19" s="10">
        <f>G18</f>
        <v>1500000</v>
      </c>
      <c r="H19" s="10">
        <f>H18</f>
        <v>16500000</v>
      </c>
    </row>
    <row r="21" spans="1:8" ht="28.05" customHeight="1" x14ac:dyDescent="0.6">
      <c r="A21" s="22" t="s">
        <v>35</v>
      </c>
      <c r="B21" s="23"/>
      <c r="C21" s="23"/>
      <c r="D21" s="23"/>
      <c r="E21" s="23"/>
      <c r="F21" s="23"/>
      <c r="G21" s="23"/>
      <c r="H21" s="23"/>
    </row>
    <row r="22" spans="1:8" ht="24" customHeight="1" x14ac:dyDescent="0.6">
      <c r="A22" s="17" t="s">
        <v>36</v>
      </c>
      <c r="B22" s="19"/>
      <c r="C22" s="17" t="s">
        <v>37</v>
      </c>
      <c r="D22" s="19"/>
      <c r="E22" s="17" t="s">
        <v>38</v>
      </c>
      <c r="F22" s="18"/>
      <c r="G22" s="18"/>
      <c r="H22" s="19"/>
    </row>
    <row r="23" spans="1:8" ht="28.05" customHeight="1" x14ac:dyDescent="0.6">
      <c r="A23" s="12" t="s">
        <v>39</v>
      </c>
      <c r="B23" s="13"/>
      <c r="C23" s="12" t="s">
        <v>40</v>
      </c>
      <c r="D23" s="13"/>
      <c r="E23" s="24" t="s">
        <v>41</v>
      </c>
      <c r="F23" s="25"/>
      <c r="G23" s="25"/>
      <c r="H23" s="13"/>
    </row>
    <row r="24" spans="1:8" ht="28.05" customHeight="1" x14ac:dyDescent="0.6">
      <c r="A24" s="12" t="s">
        <v>42</v>
      </c>
      <c r="B24" s="13"/>
      <c r="C24" s="12" t="s">
        <v>43</v>
      </c>
      <c r="D24" s="13"/>
      <c r="E24" s="24" t="s">
        <v>44</v>
      </c>
      <c r="F24" s="25"/>
      <c r="G24" s="25"/>
      <c r="H24" s="13"/>
    </row>
    <row r="25" spans="1:8" ht="28.05" customHeight="1" x14ac:dyDescent="0.6">
      <c r="A25" s="12" t="s">
        <v>45</v>
      </c>
      <c r="B25" s="13"/>
      <c r="C25" s="12" t="s">
        <v>46</v>
      </c>
      <c r="D25" s="13"/>
      <c r="E25" s="24" t="s">
        <v>47</v>
      </c>
      <c r="F25" s="25"/>
      <c r="G25" s="25"/>
      <c r="H25" s="13"/>
    </row>
    <row r="27" spans="1:8" ht="28.05" customHeight="1" x14ac:dyDescent="0.6">
      <c r="A27" s="22" t="s">
        <v>48</v>
      </c>
      <c r="B27" s="23"/>
      <c r="C27" s="23"/>
      <c r="D27" s="23"/>
      <c r="E27" s="23"/>
      <c r="F27" s="23"/>
      <c r="G27" s="23"/>
      <c r="H27" s="23"/>
    </row>
    <row r="28" spans="1:8" ht="24" customHeight="1" x14ac:dyDescent="0.6">
      <c r="A28" s="17" t="s">
        <v>49</v>
      </c>
      <c r="B28" s="19"/>
      <c r="C28" s="17" t="s">
        <v>50</v>
      </c>
      <c r="D28" s="19"/>
      <c r="E28" s="17" t="s">
        <v>51</v>
      </c>
      <c r="F28" s="19"/>
      <c r="G28" s="17" t="s">
        <v>52</v>
      </c>
      <c r="H28" s="19"/>
    </row>
    <row r="29" spans="1:8" ht="26" customHeight="1" x14ac:dyDescent="0.6">
      <c r="A29" s="12" t="s">
        <v>53</v>
      </c>
      <c r="B29" s="13"/>
      <c r="C29" s="30" t="s">
        <v>54</v>
      </c>
      <c r="D29" s="13"/>
      <c r="E29" s="31">
        <v>4950000</v>
      </c>
      <c r="F29" s="13"/>
      <c r="G29" s="12" t="s">
        <v>55</v>
      </c>
      <c r="H29" s="13"/>
    </row>
    <row r="30" spans="1:8" ht="26" customHeight="1" x14ac:dyDescent="0.6">
      <c r="A30" s="12" t="s">
        <v>56</v>
      </c>
      <c r="B30" s="13"/>
      <c r="C30" s="12" t="s">
        <v>57</v>
      </c>
      <c r="D30" s="13"/>
      <c r="E30" s="31">
        <v>11550000</v>
      </c>
      <c r="F30" s="13"/>
      <c r="G30" s="12" t="s">
        <v>58</v>
      </c>
      <c r="H30" s="13"/>
    </row>
    <row r="32" spans="1:8" ht="26" customHeight="1" x14ac:dyDescent="0.6">
      <c r="A32" s="20" t="s">
        <v>59</v>
      </c>
      <c r="B32" s="15"/>
      <c r="C32" s="14" t="s">
        <v>60</v>
      </c>
      <c r="D32" s="15"/>
      <c r="E32" s="15"/>
      <c r="F32" s="15"/>
      <c r="G32" s="15"/>
      <c r="H32" s="15"/>
    </row>
    <row r="34" spans="1:8" ht="28.05" customHeight="1" x14ac:dyDescent="0.6">
      <c r="A34" s="22" t="s">
        <v>61</v>
      </c>
      <c r="B34" s="23"/>
      <c r="C34" s="23"/>
      <c r="D34" s="23"/>
      <c r="E34" s="23"/>
      <c r="F34" s="23"/>
      <c r="G34" s="23"/>
      <c r="H34" s="23"/>
    </row>
    <row r="35" spans="1:8" ht="20" customHeight="1" x14ac:dyDescent="0.6">
      <c r="A35" s="21" t="s">
        <v>62</v>
      </c>
      <c r="B35" s="15"/>
      <c r="C35" s="15"/>
      <c r="D35" s="15"/>
      <c r="E35" s="15"/>
      <c r="F35" s="15"/>
      <c r="G35" s="15"/>
      <c r="H35" s="15"/>
    </row>
    <row r="36" spans="1:8" ht="20" customHeight="1" x14ac:dyDescent="0.6">
      <c r="A36" s="21" t="s">
        <v>63</v>
      </c>
      <c r="B36" s="15"/>
      <c r="C36" s="15"/>
      <c r="D36" s="15"/>
      <c r="E36" s="15"/>
      <c r="F36" s="15"/>
      <c r="G36" s="15"/>
      <c r="H36" s="15"/>
    </row>
    <row r="37" spans="1:8" ht="20" customHeight="1" x14ac:dyDescent="0.6">
      <c r="A37" s="21" t="s">
        <v>64</v>
      </c>
      <c r="B37" s="15"/>
      <c r="C37" s="15"/>
      <c r="D37" s="15"/>
      <c r="E37" s="15"/>
      <c r="F37" s="15"/>
      <c r="G37" s="15"/>
      <c r="H37" s="15"/>
    </row>
    <row r="38" spans="1:8" ht="20" customHeight="1" x14ac:dyDescent="0.6">
      <c r="A38" s="21" t="s">
        <v>65</v>
      </c>
      <c r="B38" s="15"/>
      <c r="C38" s="15"/>
      <c r="D38" s="15"/>
      <c r="E38" s="15"/>
      <c r="F38" s="15"/>
      <c r="G38" s="15"/>
      <c r="H38" s="15"/>
    </row>
    <row r="40" spans="1:8" ht="5" customHeight="1" x14ac:dyDescent="0.6">
      <c r="A40" s="11"/>
      <c r="B40" s="11"/>
      <c r="C40" s="11"/>
      <c r="D40" s="11"/>
      <c r="E40" s="11"/>
      <c r="F40" s="11"/>
      <c r="G40" s="11"/>
      <c r="H40" s="11"/>
    </row>
    <row r="41" spans="1:8" ht="22.05" customHeight="1" x14ac:dyDescent="0.6">
      <c r="A41" s="20" t="s">
        <v>66</v>
      </c>
      <c r="B41" s="15"/>
      <c r="C41" s="14" t="s">
        <v>0</v>
      </c>
      <c r="D41" s="15"/>
      <c r="E41" s="20" t="s">
        <v>67</v>
      </c>
      <c r="F41" s="15"/>
      <c r="G41" s="14" t="s">
        <v>68</v>
      </c>
      <c r="H41" s="15"/>
    </row>
    <row r="42" spans="1:8" ht="22.05" customHeight="1" x14ac:dyDescent="0.6">
      <c r="A42" s="20" t="s">
        <v>69</v>
      </c>
      <c r="B42" s="15"/>
      <c r="C42" s="14" t="s">
        <v>70</v>
      </c>
      <c r="D42" s="15"/>
      <c r="E42" s="20" t="s">
        <v>71</v>
      </c>
      <c r="F42" s="15"/>
      <c r="G42" s="14" t="s">
        <v>72</v>
      </c>
      <c r="H42" s="15"/>
    </row>
  </sheetData>
  <mergeCells count="59">
    <mergeCell ref="A1:C1"/>
    <mergeCell ref="A38:H38"/>
    <mergeCell ref="E41:F41"/>
    <mergeCell ref="G41:H41"/>
    <mergeCell ref="A28:B28"/>
    <mergeCell ref="A19:E19"/>
    <mergeCell ref="C28:D28"/>
    <mergeCell ref="A9:B9"/>
    <mergeCell ref="A34:H34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6:B6"/>
    <mergeCell ref="A2:C2"/>
    <mergeCell ref="E22:H22"/>
    <mergeCell ref="C4:D4"/>
    <mergeCell ref="E4:F4"/>
    <mergeCell ref="A7:B7"/>
    <mergeCell ref="C8:H8"/>
    <mergeCell ref="C22:D22"/>
    <mergeCell ref="C7:H7"/>
    <mergeCell ref="A21:H21"/>
    <mergeCell ref="C9:H9"/>
    <mergeCell ref="A18:C18"/>
    <mergeCell ref="E42:F42"/>
    <mergeCell ref="A36:H36"/>
    <mergeCell ref="A11:H11"/>
    <mergeCell ref="E25:H25"/>
    <mergeCell ref="C29:D29"/>
    <mergeCell ref="A25:B25"/>
    <mergeCell ref="E29:F29"/>
    <mergeCell ref="A41:B41"/>
    <mergeCell ref="C25:D25"/>
    <mergeCell ref="C41:D41"/>
    <mergeCell ref="E28:F28"/>
    <mergeCell ref="G28:H28"/>
    <mergeCell ref="A37:H37"/>
    <mergeCell ref="A27:H27"/>
    <mergeCell ref="A24:B24"/>
    <mergeCell ref="A30:B30"/>
    <mergeCell ref="C30:D30"/>
    <mergeCell ref="C24:D24"/>
    <mergeCell ref="G42:H42"/>
    <mergeCell ref="C42:D42"/>
    <mergeCell ref="E24:H24"/>
    <mergeCell ref="C32:H32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2026-05-08T05:46:22Z</dcterms:modified>
</cp:coreProperties>
</file>